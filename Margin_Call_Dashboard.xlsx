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visible" r:id="rId2"/>
    <sheet name="Positions" sheetId="3" state="visible" r:id="rId3"/>
    <sheet name="HCFX" sheetId="4" state="visible" r:id="rId4"/>
    <sheet name="Live Data Guide" sheetId="5" state="visible" r:id="rId5"/>
  </sheets>
  <definedNames>
    <definedName name="RefCcy">Config!$B$4</definedName>
    <definedName name="CashLabel">Config!$B$5</definedName>
    <definedName name="ThrSingle">Config!$B$6</definedName>
    <definedName name="ThrIssuer">Config!$B$7</definedName>
    <definedName name="DefThrCountry">Config!$B$8</definedName>
    <definedName name="DefThrAsset">Config!$B$9</definedName>
    <definedName name="CashCapPct">Config!$B$10</definedName>
    <definedName name="HCFXRate">Config!$B$11</definedName>
    <definedName name="LVCap">Config!$B$12</definedName>
    <definedName name="MCTrigger">Config!$B$13</definedName>
    <definedName name="WarnLevel">Config!$B$14</definedName>
    <definedName name="LVTable">Config!$A$19:$C$28</definedName>
    <definedName name="AssetTypeList">Config!$A$19:$A$28</definedName>
    <definedName name="CountryThr">Config!$A$33:$B$40</definedName>
    <definedName name="FXRates">Config!$A$45:$E$56</definedName>
    <definedName name="CcyList">Config!$A$45:$A$56</definedName>
    <definedName name="ExposureTot">Config!$E$83</definedName>
    <definedName name="FacAmt">Config!$E$75:$E$82</definedName>
    <definedName name="FacBucket">Config!$F$75:$F$82</definedName>
    <definedName name="ConcDenom">Positions!$I$2</definedName>
    <definedName name="ConcDenomStr">Positions!$Q$2</definedName>
    <definedName name="HCFXTot">HCFX!$F$15</definedName>
    <definedName name="HCFXTotStr">HCFX!$J$15</definedName>
    <definedName name="NetCV">Dashboard!$B$11</definedName>
    <definedName name="NetCVStr">Dashboard!$E$11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8"/>
    </font>
    <font>
      <b val="1"/>
      <color rgb="00FFFFFF"/>
      <sz val="9"/>
    </font>
    <font>
      <b val="1"/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A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8" fillId="7" borderId="1" pivotButton="0" quotePrefix="0" xfId="0"/>
    <xf numFmtId="164" fontId="8" fillId="7" borderId="1" pivotButton="0" quotePrefix="0" xfId="0"/>
    <xf numFmtId="0" fontId="8" fillId="0" borderId="0" pivotButton="0" quotePrefix="0" xfId="0"/>
    <xf numFmtId="10" fontId="8" fillId="7" borderId="1" pivotButton="0" quotePrefix="0" xfId="0"/>
    <xf numFmtId="0" fontId="8" fillId="7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0" applyAlignment="1" pivotButton="0" quotePrefix="0" xfId="0">
      <alignment vertical="top" wrapText="1"/>
    </xf>
    <xf numFmtId="164" fontId="4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5" fontId="0" fillId="5" borderId="1" pivotButton="0" quotePrefix="0" xfId="0"/>
    <xf numFmtId="3" fontId="0" fillId="4" borderId="1" pivotButton="0" quotePrefix="0" xfId="0"/>
    <xf numFmtId="3" fontId="0" fillId="5" borderId="1" pivotButton="0" quotePrefix="0" xfId="0"/>
    <xf numFmtId="0" fontId="0" fillId="5" borderId="1" pivotButton="0" quotePrefix="0" xfId="0"/>
    <xf numFmtId="0" fontId="4" fillId="6" borderId="0" pivotButton="0" quotePrefix="0" xfId="0"/>
    <xf numFmtId="3" fontId="4" fillId="6" borderId="1" pivotButton="0" quotePrefix="0" xfId="0"/>
    <xf numFmtId="3" fontId="7" fillId="5" borderId="0" pivotButton="0" quotePrefix="0" xfId="0"/>
    <xf numFmtId="4" fontId="0" fillId="4" borderId="1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13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SECURITIES-BACKED LENDING — MARGIN CALL DASHBOARD</t>
        </is>
      </c>
      <c r="B1" s="2" t="n"/>
      <c r="C1" s="2" t="n"/>
      <c r="D1" s="2" t="n"/>
      <c r="E1" s="2" t="n"/>
      <c r="F1" s="2" t="n"/>
      <c r="G1" s="2" t="n"/>
    </row>
    <row r="2">
      <c r="A2" s="3">
        <f>"Reference currency: "&amp;RefCcy&amp;"   |   As of: "&amp;TEXT(TODAY(),"yyyy-mm-dd")&amp;"   |   Methodology: CV = Qty x Price x LV%  -&gt;  Concentration haircut (4 dimensions)  -&gt;  HCFX  -&gt;  Net CV"</f>
        <v/>
      </c>
    </row>
    <row r="4">
      <c r="A4" s="4" t="inlineStr">
        <is>
          <t>CURRENT</t>
        </is>
      </c>
      <c r="B4" s="5" t="n"/>
      <c r="D4" s="4" t="inlineStr">
        <is>
          <t>STRESSED (per-position shocks on Positions col AC)</t>
        </is>
      </c>
      <c r="E4" s="5" t="n"/>
    </row>
    <row r="5">
      <c r="A5" s="6" t="inlineStr">
        <is>
          <t>Total exposure (all facilities)</t>
        </is>
      </c>
      <c r="B5" s="7">
        <f>ExposureTot</f>
        <v/>
      </c>
      <c r="D5" s="6" t="inlineStr">
        <is>
          <t>Weighted average price shock</t>
        </is>
      </c>
      <c r="E5" s="8">
        <f>IFERROR(Positions!$AD$205/Positions!$M$205-1,0)</f>
        <v/>
      </c>
    </row>
    <row r="6">
      <c r="A6" s="6" t="inlineStr">
        <is>
          <t>Gross collateral market value</t>
        </is>
      </c>
      <c r="B6" s="7">
        <f>Positions!$M$205</f>
        <v/>
      </c>
      <c r="D6" s="6" t="inlineStr">
        <is>
          <t>Stressed gross market value</t>
        </is>
      </c>
      <c r="E6" s="7">
        <f>Positions!$AD$205</f>
        <v/>
      </c>
    </row>
    <row r="7">
      <c r="A7" s="6" t="inlineStr">
        <is>
          <t>Collateral Value before haircuts (CV)</t>
        </is>
      </c>
      <c r="B7" s="7">
        <f>Positions!$P$205</f>
        <v/>
      </c>
      <c r="D7" s="6" t="inlineStr">
        <is>
          <t>Stressed CV before haircuts</t>
        </is>
      </c>
      <c r="E7" s="7">
        <f>Positions!$AE$205</f>
        <v/>
      </c>
    </row>
    <row r="8">
      <c r="A8" s="6" t="inlineStr">
        <is>
          <t>Concentration penalty</t>
        </is>
      </c>
      <c r="B8" s="7">
        <f>-Positions!$AB$205</f>
        <v/>
      </c>
      <c r="D8" s="6" t="inlineStr">
        <is>
          <t>Stressed concentration penalty</t>
        </is>
      </c>
      <c r="E8" s="7">
        <f>-(Positions!$AE$205-Positions!$AK$205)</f>
        <v/>
      </c>
    </row>
    <row r="9">
      <c r="A9" s="6" t="inlineStr">
        <is>
          <t>Conc Adj CV (after concentration haircut)</t>
        </is>
      </c>
      <c r="B9" s="7">
        <f>Positions!$AA$205</f>
        <v/>
      </c>
      <c r="D9" s="6" t="inlineStr">
        <is>
          <t>Stressed Conc Adj CV</t>
        </is>
      </c>
      <c r="E9" s="7">
        <f>Positions!$AK$205</f>
        <v/>
      </c>
    </row>
    <row r="10">
      <c r="A10" s="6" t="inlineStr">
        <is>
          <t>Currency mismatch haircut (HCFX)</t>
        </is>
      </c>
      <c r="B10" s="7">
        <f>-HCFXTot</f>
        <v/>
      </c>
      <c r="D10" s="6" t="inlineStr">
        <is>
          <t>Stressed HCFX</t>
        </is>
      </c>
      <c r="E10" s="7">
        <f>-HCFXTotStr</f>
        <v/>
      </c>
    </row>
    <row r="11">
      <c r="A11" s="9" t="inlineStr">
        <is>
          <t>NET COLLATERAL VALUE (CV2)</t>
        </is>
      </c>
      <c r="B11" s="7">
        <f>Positions!$AA$205-HCFXTot</f>
        <v/>
      </c>
      <c r="D11" s="9" t="inlineStr">
        <is>
          <t>STRESSED NET COLLATERAL VALUE</t>
        </is>
      </c>
      <c r="E11" s="7">
        <f>Positions!$AK$205-HCFXTotStr</f>
        <v/>
      </c>
    </row>
    <row r="12">
      <c r="A12" s="6" t="inlineStr">
        <is>
          <t>Utilisation (Exposure / Net CV)</t>
        </is>
      </c>
      <c r="B12" s="10">
        <f>IFERROR(ExposureTot/NetCV,0)</f>
        <v/>
      </c>
      <c r="D12" s="6" t="inlineStr">
        <is>
          <t>Stressed utilisation</t>
        </is>
      </c>
      <c r="E12" s="10">
        <f>IFERROR(ExposureTot/NetCVStr,0)</f>
        <v/>
      </c>
    </row>
    <row r="13">
      <c r="A13" s="9" t="inlineStr">
        <is>
          <t>STATUS</t>
        </is>
      </c>
      <c r="B13" s="11">
        <f>IF(NetCV&lt;=0,"MARGIN CALL",IF(ExposureTot/NetCV&gt;=MCTrigger,"MARGIN CALL",IF(ExposureTot/NetCV&gt;=WarnLevel,"WARNING","OK")))</f>
        <v/>
      </c>
      <c r="D13" s="9" t="inlineStr">
        <is>
          <t>STRESSED STATUS</t>
        </is>
      </c>
      <c r="E13" s="11">
        <f>IF(NetCVStr&lt;=0,"MARGIN CALL",IF(ExposureTot/NetCVStr&gt;=MCTrigger,"MARGIN CALL",IF(ExposureTot/NetCVStr&gt;=WarnLevel,"WARNING","OK")))</f>
        <v/>
      </c>
    </row>
    <row r="14">
      <c r="A14" s="6" t="inlineStr">
        <is>
          <t>Buffer to margin call</t>
        </is>
      </c>
      <c r="B14" s="7">
        <f>NetCV*MCTrigger-ExposureTot</f>
        <v/>
      </c>
      <c r="D14" s="6" t="inlineStr">
        <is>
          <t>Stressed buffer to margin call</t>
        </is>
      </c>
      <c r="E14" s="7">
        <f>NetCVStr*MCTrigger-ExposureTot</f>
        <v/>
      </c>
    </row>
    <row r="15">
      <c r="A15" s="6" t="inlineStr">
        <is>
          <t>Top-up required now</t>
        </is>
      </c>
      <c r="B15" s="7">
        <f>MAX(0,ExposureTot-NetCV*MCTrigger)</f>
        <v/>
      </c>
      <c r="D15" s="6" t="inlineStr">
        <is>
          <t>Stressed top-up required</t>
        </is>
      </c>
      <c r="E15" s="7">
        <f>MAX(0,ExposureTot-NetCVStr*MCTrigger)</f>
        <v/>
      </c>
    </row>
    <row r="16">
      <c r="A16" s="6" t="inlineStr">
        <is>
          <t>Collateral fall to WARNING (uniform, approx)</t>
        </is>
      </c>
      <c r="B16" s="8">
        <f>IF(NetCV=0,0,MAX(0,1-ExposureTot/(WarnLevel*NetCV)))</f>
        <v/>
      </c>
    </row>
    <row r="17">
      <c r="A17" s="6" t="inlineStr">
        <is>
          <t>Collateral fall to MARGIN CALL (uniform, approx)</t>
        </is>
      </c>
      <c r="B17" s="8">
        <f>IF(NetCV=0,0,MAX(0,1-ExposureTot/(MCTrigger*NetCV)))</f>
        <v/>
      </c>
    </row>
    <row r="18">
      <c r="A18" s="6" t="inlineStr">
        <is>
          <t>Required CV incl. FX buffer  [Exposure / (1-HCFX)]</t>
        </is>
      </c>
      <c r="B18" s="7">
        <f>ExposureTot/(1-HCFXRate)</f>
        <v/>
      </c>
    </row>
    <row r="21">
      <c r="A21" s="4" t="inlineStr">
        <is>
          <t>CONCENTRATION MONITOR (worst group per dimension)</t>
        </is>
      </c>
      <c r="B21" s="5" t="n"/>
      <c r="C21" s="5" t="n"/>
      <c r="D21" s="5" t="n"/>
      <c r="E21" s="5" t="n"/>
      <c r="F21" s="5" t="n"/>
      <c r="G21" s="5" t="n"/>
    </row>
    <row r="22">
      <c r="A22" s="12" t="inlineStr">
        <is>
          <t>Dimension</t>
        </is>
      </c>
      <c r="B22" s="12" t="inlineStr">
        <is>
          <t>Threshold</t>
        </is>
      </c>
      <c r="C22" s="12" t="inlineStr">
        <is>
          <t>Max ratio</t>
        </is>
      </c>
      <c r="D22" s="12" t="inlineStr">
        <is>
          <t>Min Adj Factor</t>
        </is>
      </c>
      <c r="E22" s="12" t="inlineStr">
        <is>
          <t>Status</t>
        </is>
      </c>
      <c r="F22" s="12" t="inlineStr">
        <is>
          <t>Driver (worst position row)</t>
        </is>
      </c>
    </row>
    <row r="23">
      <c r="A23" s="13" t="inlineStr">
        <is>
          <t>Single Counter</t>
        </is>
      </c>
      <c r="B23" s="14">
        <f>ThrSingle</f>
        <v/>
      </c>
      <c r="C23" s="14">
        <f>IF(COUNT(Positions!$R$5:$R$204)=0,0,MAX(Positions!$R$5:$R$204))</f>
        <v/>
      </c>
      <c r="D23" s="15">
        <f>IF(COUNT(Positions!$V$5:$V$204)=0,1,MIN(Positions!$V$5:$V$204))</f>
        <v/>
      </c>
      <c r="E23" s="16">
        <f>IF($D23&lt;1,"BREACH","OK")</f>
        <v/>
      </c>
      <c r="F23" s="13">
        <f>IF($D23&lt;1,INDEX(Positions!$B$5:$B$204,MATCH($D23,Positions!$V$5:$V$204,0)),"—")</f>
        <v/>
      </c>
    </row>
    <row r="24">
      <c r="A24" s="13" t="inlineStr">
        <is>
          <t>Issuer</t>
        </is>
      </c>
      <c r="B24" s="14">
        <f>ThrIssuer</f>
        <v/>
      </c>
      <c r="C24" s="14">
        <f>IF(COUNT(Positions!$S$5:$S$204)=0,0,MAX(Positions!$S$5:$S$204))</f>
        <v/>
      </c>
      <c r="D24" s="15">
        <f>IF(COUNT(Positions!$W$5:$W$204)=0,1,MIN(Positions!$W$5:$W$204))</f>
        <v/>
      </c>
      <c r="E24" s="16">
        <f>IF($D24&lt;1,"BREACH","OK")</f>
        <v/>
      </c>
      <c r="F24" s="13">
        <f>IF($D24&lt;1,INDEX(Positions!$B$5:$B$204,MATCH($D24,Positions!$W$5:$W$204,0)),"—")</f>
        <v/>
      </c>
    </row>
    <row r="25">
      <c r="A25" s="13" t="inlineStr">
        <is>
          <t>Country of Risk</t>
        </is>
      </c>
      <c r="B25" s="16">
        <f>"default "&amp;TEXT(DefThrCountry,"0%")&amp;" / overrides"</f>
        <v/>
      </c>
      <c r="C25" s="14">
        <f>IF(COUNT(Positions!$T$5:$T$204)=0,0,MAX(Positions!$T$5:$T$204))</f>
        <v/>
      </c>
      <c r="D25" s="15">
        <f>IF(COUNT(Positions!$X$5:$X$204)=0,1,MIN(Positions!$X$5:$X$204))</f>
        <v/>
      </c>
      <c r="E25" s="16">
        <f>IF($D25&lt;1,"BREACH","OK")</f>
        <v/>
      </c>
      <c r="F25" s="13">
        <f>IF($D25&lt;1,INDEX(Positions!$B$5:$B$204,MATCH($D25,Positions!$X$5:$X$204,0)),"—")</f>
        <v/>
      </c>
    </row>
    <row r="26">
      <c r="A26" s="13" t="inlineStr">
        <is>
          <t>Asset Type</t>
        </is>
      </c>
      <c r="B26" s="16">
        <f>"default "&amp;TEXT(DefThrAsset,"0%")&amp;" / per type"</f>
        <v/>
      </c>
      <c r="C26" s="14">
        <f>IF(COUNT(Positions!$U$5:$U$204)=0,0,MAX(Positions!$U$5:$U$204))</f>
        <v/>
      </c>
      <c r="D26" s="15">
        <f>IF(COUNT(Positions!$Y$5:$Y$204)=0,1,MIN(Positions!$Y$5:$Y$204))</f>
        <v/>
      </c>
      <c r="E26" s="16">
        <f>IF($D26&lt;1,"BREACH","OK")</f>
        <v/>
      </c>
      <c r="F26" s="13">
        <f>IF($D26&lt;1,INDEX(Positions!$B$5:$B$204,MATCH($D26,Positions!$Y$5:$Y$204,0)),"—")</f>
        <v/>
      </c>
    </row>
    <row r="28">
      <c r="A28" s="4" t="inlineStr">
        <is>
          <t>HOW TO READ</t>
        </is>
      </c>
      <c r="B28" s="5" t="n"/>
      <c r="C28" s="5" t="n"/>
      <c r="D28" s="5" t="n"/>
      <c r="E28" s="5" t="n"/>
      <c r="F28" s="5" t="n"/>
      <c r="G28" s="5" t="n"/>
    </row>
    <row r="29">
      <c r="A29" s="3" t="inlineStr">
        <is>
          <t>1. CV per position = Quantity x Price x LV% (LV defaults by asset type on Config, capped by the LV cap; override per line).</t>
        </is>
      </c>
    </row>
    <row r="30">
      <c r="A30" s="3" t="inlineStr">
        <is>
          <t>2. Concentration: ratio of each group's CV over [Marketable CV + MIN(Cash, cap% x Marketable)]. If a ratio breaches its threshold, Adj Factor = threshold / ratio; Conc Adj CV = CV x MIN of the 4 factors (conservative: the single most-penal dimension binds).</t>
        </is>
      </c>
    </row>
    <row r="31">
      <c r="A31" s="3" t="inlineStr">
        <is>
          <t>3. HCFX: collateral supporting exposure in another currency bucket is haircut (default 10%); USD &amp; HKD share one bucket. See HCFX sheet.</t>
        </is>
      </c>
    </row>
    <row r="32">
      <c r="A32" s="3" t="inlineStr">
        <is>
          <t>4. Margin call when Exposure &gt; Net CV x trigger. All thresholds live on Config — nothing is hardcoded.</t>
        </is>
      </c>
    </row>
    <row r="33">
      <c r="A33" s="3" t="inlineStr">
        <is>
          <t>5. Stress: enter price shocks per line in Positions col AC (e.g. -20%). The whole chain (concentration + HCFX) is recomputed under stress.</t>
        </is>
      </c>
    </row>
  </sheetData>
  <conditionalFormatting sqref="B13">
    <cfRule type="expression" priority="1" dxfId="0">
      <formula>ISNUMBER(SEARCH("MARGIN CALL",B13))</formula>
    </cfRule>
    <cfRule type="expression" priority="2" dxfId="1">
      <formula>ISNUMBER(SEARCH("WARNING",B13))</formula>
    </cfRule>
    <cfRule type="expression" priority="3" dxfId="0">
      <formula>ISNUMBER(SEARCH("BREACH",B13))</formula>
    </cfRule>
    <cfRule type="expression" priority="4" dxfId="2">
      <formula>B13="OK"</formula>
    </cfRule>
  </conditionalFormatting>
  <conditionalFormatting sqref="E13">
    <cfRule type="expression" priority="5" dxfId="0">
      <formula>ISNUMBER(SEARCH("MARGIN CALL",E13))</formula>
    </cfRule>
    <cfRule type="expression" priority="6" dxfId="1">
      <formula>ISNUMBER(SEARCH("WARNING",E13))</formula>
    </cfRule>
    <cfRule type="expression" priority="7" dxfId="0">
      <formula>ISNUMBER(SEARCH("BREACH",E13))</formula>
    </cfRule>
    <cfRule type="expression" priority="8" dxfId="2">
      <formula>E13="OK"</formula>
    </cfRule>
  </conditionalFormatting>
  <conditionalFormatting sqref="E23:E26">
    <cfRule type="expression" priority="9" dxfId="0">
      <formula>ISNUMBER(SEARCH("MARGIN CALL",E23))</formula>
    </cfRule>
    <cfRule type="expression" priority="10" dxfId="1">
      <formula>ISNUMBER(SEARCH("WARNING",E23))</formula>
    </cfRule>
    <cfRule type="expression" priority="11" dxfId="0">
      <formula>ISNUMBER(SEARCH("BREACH",E23))</formula>
    </cfRule>
    <cfRule type="expression" priority="12" dxfId="2">
      <formula>E23="OK"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12" customWidth="1" min="4" max="4"/>
    <col width="16" customWidth="1" min="5" max="5"/>
    <col width="42" customWidth="1" min="6" max="6"/>
  </cols>
  <sheetData>
    <row r="1">
      <c r="A1" s="1" t="inlineStr">
        <is>
          <t>CONFIG — every parameter of the model lives here (nothing is hardcoded in formulas)</t>
        </is>
      </c>
      <c r="B1" s="2" t="n"/>
      <c r="C1" s="2" t="n"/>
      <c r="D1" s="2" t="n"/>
      <c r="E1" s="2" t="n"/>
      <c r="F1" s="2" t="n"/>
    </row>
    <row r="3">
      <c r="A3" s="4" t="inlineStr">
        <is>
          <t>1. CORE PARAMETERS</t>
        </is>
      </c>
      <c r="B3" s="5" t="n"/>
      <c r="C3" s="5" t="n"/>
      <c r="D3" s="5" t="n"/>
      <c r="E3" s="5" t="n"/>
      <c r="F3" s="5" t="n"/>
    </row>
    <row r="4">
      <c r="A4" s="6" t="inlineStr">
        <is>
          <t>Reference / reporting currency</t>
        </is>
      </c>
      <c r="B4" s="17" t="inlineStr">
        <is>
          <t>USD</t>
        </is>
      </c>
      <c r="C4" s="18" t="inlineStr">
        <is>
          <t>All values converted to this currency for margin maths.</t>
        </is>
      </c>
    </row>
    <row r="5">
      <c r="A5" s="6" t="inlineStr">
        <is>
          <t>Cash asset-type label</t>
        </is>
      </c>
      <c r="B5" s="17" t="inlineStr">
        <is>
          <t>Cash</t>
        </is>
      </c>
      <c r="C5" s="18" t="inlineStr">
        <is>
          <t>Rows whose Asset Type equals this label are treated as cash: LV 100%, exempt from concentration.</t>
        </is>
      </c>
    </row>
    <row r="6">
      <c r="A6" s="6" t="inlineStr">
        <is>
          <t>Single Counter concentration threshold</t>
        </is>
      </c>
      <c r="B6" s="19" t="n">
        <v>0.3</v>
      </c>
      <c r="C6" s="18" t="inlineStr">
        <is>
          <t>DBS example: 30%. Adj Factor = threshold / ratio when breached.</t>
        </is>
      </c>
    </row>
    <row r="7">
      <c r="A7" s="6" t="inlineStr">
        <is>
          <t>Issuer concentration threshold</t>
        </is>
      </c>
      <c r="B7" s="19" t="n">
        <v>0.4</v>
      </c>
      <c r="C7" s="18" t="inlineStr">
        <is>
          <t>DBS example: 40%.</t>
        </is>
      </c>
    </row>
    <row r="8">
      <c r="A8" s="6" t="inlineStr">
        <is>
          <t>Country-of-risk threshold (default)</t>
        </is>
      </c>
      <c r="B8" s="19" t="n">
        <v>1</v>
      </c>
      <c r="C8" s="18" t="inlineStr">
        <is>
          <t>Used when the country is not in table 3 below (DBS example: most = 100%, Macao 75%).</t>
        </is>
      </c>
    </row>
    <row r="9">
      <c r="A9" s="6" t="inlineStr">
        <is>
          <t>Asset-type threshold (default)</t>
        </is>
      </c>
      <c r="B9" s="19" t="n">
        <v>1</v>
      </c>
      <c r="C9" s="18" t="inlineStr">
        <is>
          <t>Used when no per-asset-type threshold is set in table 2.</t>
        </is>
      </c>
    </row>
    <row r="10">
      <c r="A10" s="6" t="inlineStr">
        <is>
          <t>Cash cap in concentration denominator</t>
        </is>
      </c>
      <c r="B10" s="19" t="n">
        <v>0.3</v>
      </c>
      <c r="C10" s="18" t="inlineStr">
        <is>
          <t>Denominator = Marketable CV + MIN(Cash CV, this % x Marketable CV) — per DBS PLV report.</t>
        </is>
      </c>
    </row>
    <row r="11">
      <c r="A11" s="6" t="inlineStr">
        <is>
          <t>HCFX currency-mismatch haircut</t>
        </is>
      </c>
      <c r="B11" s="19" t="n">
        <v>0.1</v>
      </c>
      <c r="C11" s="18" t="inlineStr">
        <is>
          <t>10% haircut on CV allocated to exposure in a different currency bucket.</t>
        </is>
      </c>
    </row>
    <row r="12">
      <c r="A12" s="6" t="inlineStr">
        <is>
          <t>LV cap (marketable securities)</t>
        </is>
      </c>
      <c r="B12" s="19" t="n">
        <v>0.75</v>
      </c>
      <c r="C12" s="18" t="inlineStr">
        <is>
          <t>Regulatory LV cap (e.g. 75% cap in HK for equities/ELNs). Applied to non-cash rows.</t>
        </is>
      </c>
    </row>
    <row r="13">
      <c r="A13" s="6" t="inlineStr">
        <is>
          <t>Margin call trigger (utilisation of net CV)</t>
        </is>
      </c>
      <c r="B13" s="19" t="n">
        <v>1</v>
      </c>
      <c r="C13" s="18" t="inlineStr">
        <is>
          <t>Margin call when Exposure &gt; Net CV x this trigger.</t>
        </is>
      </c>
    </row>
    <row r="14">
      <c r="A14" s="6" t="inlineStr">
        <is>
          <t>Early-warning utilisation level</t>
        </is>
      </c>
      <c r="B14" s="19" t="n">
        <v>0.9</v>
      </c>
      <c r="C14" s="18" t="inlineStr">
        <is>
          <t>Status shows 'Warning' above this utilisation.</t>
        </is>
      </c>
    </row>
    <row r="17">
      <c r="A17" s="4" t="inlineStr">
        <is>
          <t>2. ASSET TYPES — default Lending Value % and concentration threshold</t>
        </is>
      </c>
      <c r="B17" s="5" t="n"/>
      <c r="C17" s="5" t="n"/>
      <c r="D17" s="5" t="n"/>
      <c r="E17" s="5" t="n"/>
      <c r="F17" s="5" t="n"/>
    </row>
    <row r="18">
      <c r="A18" s="12" t="inlineStr">
        <is>
          <t>Asset Type</t>
        </is>
      </c>
      <c r="B18" s="12" t="inlineStr">
        <is>
          <t>Default LV %</t>
        </is>
      </c>
      <c r="C18" s="12" t="inlineStr">
        <is>
          <t>Conc. Threshold %</t>
        </is>
      </c>
      <c r="D18" s="12" t="inlineStr">
        <is>
          <t>Notes</t>
        </is>
      </c>
    </row>
    <row r="19">
      <c r="A19" s="20" t="inlineStr">
        <is>
          <t>Listed Equity</t>
        </is>
      </c>
      <c r="B19" s="21" t="n">
        <v>0.7</v>
      </c>
      <c r="C19" s="21" t="n">
        <v>1</v>
      </c>
      <c r="D19" s="3" t="inlineStr">
        <is>
          <t>LV capped by parameter 'LV cap' above</t>
        </is>
      </c>
    </row>
    <row r="20">
      <c r="A20" s="20" t="inlineStr">
        <is>
          <t>Bond</t>
        </is>
      </c>
      <c r="B20" s="21" t="n">
        <v>0.75</v>
      </c>
      <c r="C20" s="21" t="n">
        <v>1</v>
      </c>
      <c r="D20" s="3" t="inlineStr"/>
    </row>
    <row r="21">
      <c r="A21" s="20" t="inlineStr">
        <is>
          <t>Fund / ETF</t>
        </is>
      </c>
      <c r="B21" s="21" t="n">
        <v>0.65</v>
      </c>
      <c r="C21" s="21" t="n">
        <v>1</v>
      </c>
      <c r="D21" s="3" t="inlineStr"/>
    </row>
    <row r="22">
      <c r="A22" s="20" t="inlineStr">
        <is>
          <t>Structured Product</t>
        </is>
      </c>
      <c r="B22" s="21" t="n">
        <v>0.6</v>
      </c>
      <c r="C22" s="21" t="n">
        <v>1</v>
      </c>
      <c r="D22" s="3" t="inlineStr">
        <is>
          <t>e.g. FCN / ELN</t>
        </is>
      </c>
    </row>
    <row r="23">
      <c r="A23" s="20" t="inlineStr">
        <is>
          <t>Cash</t>
        </is>
      </c>
      <c r="B23" s="21" t="n">
        <v>1</v>
      </c>
      <c r="C23" s="21" t="n">
        <v>1</v>
      </c>
      <c r="D23" s="3" t="inlineStr">
        <is>
          <t>Exempt from concentration; HCFX still applies</t>
        </is>
      </c>
    </row>
    <row r="24">
      <c r="A24" s="20" t="inlineStr"/>
      <c r="B24" s="21" t="n"/>
      <c r="C24" s="21" t="n"/>
      <c r="D24" s="3" t="inlineStr"/>
    </row>
    <row r="25">
      <c r="A25" s="20" t="inlineStr"/>
      <c r="B25" s="21" t="n"/>
      <c r="C25" s="21" t="n"/>
      <c r="D25" s="3" t="inlineStr"/>
    </row>
    <row r="26">
      <c r="A26" s="20" t="inlineStr"/>
      <c r="B26" s="21" t="n"/>
      <c r="C26" s="21" t="n"/>
      <c r="D26" s="3" t="inlineStr"/>
    </row>
    <row r="27">
      <c r="A27" s="20" t="inlineStr"/>
      <c r="B27" s="21" t="n"/>
      <c r="C27" s="21" t="n"/>
      <c r="D27" s="3" t="inlineStr"/>
    </row>
    <row r="28">
      <c r="A28" s="20" t="inlineStr"/>
      <c r="B28" s="21" t="n"/>
      <c r="C28" s="21" t="n"/>
      <c r="D28" s="3" t="inlineStr"/>
    </row>
    <row r="31">
      <c r="A31" s="4" t="inlineStr">
        <is>
          <t>3. COUNTRY-OF-RISK THRESHOLD OVERRIDES (all other countries use the default in section 1)</t>
        </is>
      </c>
      <c r="B31" s="5" t="n"/>
      <c r="C31" s="5" t="n"/>
      <c r="D31" s="5" t="n"/>
      <c r="E31" s="5" t="n"/>
      <c r="F31" s="5" t="n"/>
    </row>
    <row r="32">
      <c r="A32" s="12" t="inlineStr">
        <is>
          <t>Country</t>
        </is>
      </c>
      <c r="B32" s="12" t="inlineStr">
        <is>
          <t>Threshold %</t>
        </is>
      </c>
    </row>
    <row r="33">
      <c r="A33" s="20" t="inlineStr">
        <is>
          <t>Macao</t>
        </is>
      </c>
      <c r="B33" s="21" t="n">
        <v>0.75</v>
      </c>
    </row>
    <row r="34">
      <c r="A34" s="20" t="inlineStr"/>
      <c r="B34" s="21" t="n"/>
    </row>
    <row r="35">
      <c r="A35" s="20" t="inlineStr"/>
      <c r="B35" s="21" t="n"/>
    </row>
    <row r="36">
      <c r="A36" s="20" t="inlineStr"/>
      <c r="B36" s="21" t="n"/>
    </row>
    <row r="37">
      <c r="A37" s="20" t="inlineStr"/>
      <c r="B37" s="21" t="n"/>
    </row>
    <row r="38">
      <c r="A38" s="20" t="inlineStr"/>
      <c r="B38" s="21" t="n"/>
    </row>
    <row r="39">
      <c r="A39" s="20" t="inlineStr"/>
      <c r="B39" s="21" t="n"/>
    </row>
    <row r="40">
      <c r="A40" s="20" t="inlineStr"/>
      <c r="B40" s="21" t="n"/>
    </row>
    <row r="43">
      <c r="A43" s="4" t="inlineStr">
        <is>
          <t>4. FX RATES &amp; HCFX CURRENCY BUCKETS  (rate = reference-ccy per 1 unit; live rate overrides manual when present)</t>
        </is>
      </c>
      <c r="B43" s="5" t="n"/>
      <c r="C43" s="5" t="n"/>
      <c r="D43" s="5" t="n"/>
      <c r="E43" s="5" t="n"/>
      <c r="F43" s="5" t="n"/>
    </row>
    <row r="44">
      <c r="A44" s="12" t="inlineStr">
        <is>
          <t>Currency</t>
        </is>
      </c>
      <c r="B44" s="12" t="inlineStr">
        <is>
          <t>Manual rate</t>
        </is>
      </c>
      <c r="C44" s="12" t="inlineStr">
        <is>
          <t>Live rate (optional)</t>
        </is>
      </c>
      <c r="D44" s="12" t="inlineStr">
        <is>
          <t>Rate used</t>
        </is>
      </c>
      <c r="E44" s="12" t="inlineStr">
        <is>
          <t>HCFX Bucket</t>
        </is>
      </c>
      <c r="F44" s="12" t="inlineStr">
        <is>
          <t>Note</t>
        </is>
      </c>
    </row>
    <row r="45">
      <c r="A45" s="20" t="inlineStr">
        <is>
          <t>USD</t>
        </is>
      </c>
      <c r="B45" s="22" t="n">
        <v>1</v>
      </c>
      <c r="C45" s="22" t="n"/>
      <c r="D45" s="23">
        <f>IF($A45="","",IF(ISNUMBER($C45),$C45,$B45))</f>
        <v/>
      </c>
      <c r="E45" s="20" t="inlineStr">
        <is>
          <t>USD&amp;HKD</t>
        </is>
      </c>
      <c r="F45" s="3" t="inlineStr">
        <is>
          <t>Reference currency</t>
        </is>
      </c>
    </row>
    <row r="46">
      <c r="A46" s="20" t="inlineStr">
        <is>
          <t>HKD</t>
        </is>
      </c>
      <c r="B46" s="22" t="n">
        <v>0.1282</v>
      </c>
      <c r="C46" s="22" t="n"/>
      <c r="D46" s="23">
        <f>IF($A46="","",IF(ISNUMBER($C46),$C46,$B46))</f>
        <v/>
      </c>
      <c r="E46" s="20" t="inlineStr">
        <is>
          <t>USD&amp;HKD</t>
        </is>
      </c>
      <c r="F46" s="3" t="inlineStr">
        <is>
          <t>USD/HKD pegged — one bucket, no HCFX between them</t>
        </is>
      </c>
    </row>
    <row r="47">
      <c r="A47" s="20" t="inlineStr">
        <is>
          <t>CHF</t>
        </is>
      </c>
      <c r="B47" s="22" t="n">
        <v>1.2349</v>
      </c>
      <c r="C47" s="22" t="n"/>
      <c r="D47" s="23">
        <f>IF($A47="","",IF(ISNUMBER($C47),$C47,$B47))</f>
        <v/>
      </c>
      <c r="E47" s="20" t="inlineStr">
        <is>
          <t>CHF</t>
        </is>
      </c>
      <c r="F47" s="3" t="inlineStr"/>
    </row>
    <row r="48">
      <c r="A48" s="20" t="inlineStr">
        <is>
          <t>EUR</t>
        </is>
      </c>
      <c r="B48" s="22" t="n">
        <v>1.17</v>
      </c>
      <c r="C48" s="22" t="n"/>
      <c r="D48" s="23">
        <f>IF($A48="","",IF(ISNUMBER($C48),$C48,$B48))</f>
        <v/>
      </c>
      <c r="E48" s="20" t="inlineStr">
        <is>
          <t>EUR</t>
        </is>
      </c>
      <c r="F48" s="3" t="inlineStr"/>
    </row>
    <row r="49">
      <c r="A49" s="20" t="inlineStr">
        <is>
          <t>GBP</t>
        </is>
      </c>
      <c r="B49" s="22" t="n">
        <v>1.34</v>
      </c>
      <c r="C49" s="22" t="n"/>
      <c r="D49" s="23">
        <f>IF($A49="","",IF(ISNUMBER($C49),$C49,$B49))</f>
        <v/>
      </c>
      <c r="E49" s="20" t="inlineStr">
        <is>
          <t>GBP</t>
        </is>
      </c>
      <c r="F49" s="3" t="inlineStr"/>
    </row>
    <row r="50">
      <c r="A50" s="20" t="inlineStr">
        <is>
          <t>SGD</t>
        </is>
      </c>
      <c r="B50" s="22" t="n">
        <v>0.78</v>
      </c>
      <c r="C50" s="22" t="n"/>
      <c r="D50" s="23">
        <f>IF($A50="","",IF(ISNUMBER($C50),$C50,$B50))</f>
        <v/>
      </c>
      <c r="E50" s="20" t="inlineStr">
        <is>
          <t>SGD</t>
        </is>
      </c>
      <c r="F50" s="3" t="inlineStr"/>
    </row>
    <row r="51">
      <c r="A51" s="20" t="inlineStr">
        <is>
          <t>JPY</t>
        </is>
      </c>
      <c r="B51" s="22" t="n">
        <v>0.0067</v>
      </c>
      <c r="C51" s="22" t="n"/>
      <c r="D51" s="23">
        <f>IF($A51="","",IF(ISNUMBER($C51),$C51,$B51))</f>
        <v/>
      </c>
      <c r="E51" s="20" t="inlineStr">
        <is>
          <t>JPY</t>
        </is>
      </c>
      <c r="F51" s="3" t="inlineStr"/>
    </row>
    <row r="52">
      <c r="A52" s="20" t="inlineStr">
        <is>
          <t>CNH</t>
        </is>
      </c>
      <c r="B52" s="22" t="n">
        <v>0.139</v>
      </c>
      <c r="C52" s="22" t="n"/>
      <c r="D52" s="23">
        <f>IF($A52="","",IF(ISNUMBER($C52),$C52,$B52))</f>
        <v/>
      </c>
      <c r="E52" s="20" t="inlineStr">
        <is>
          <t>CNH</t>
        </is>
      </c>
      <c r="F52" s="3" t="inlineStr"/>
    </row>
    <row r="53">
      <c r="A53" s="20" t="inlineStr"/>
      <c r="B53" s="22" t="n"/>
      <c r="C53" s="22" t="n"/>
      <c r="D53" s="23">
        <f>IF($A53="","",IF(ISNUMBER($C53),$C53,$B53))</f>
        <v/>
      </c>
      <c r="E53" s="20" t="inlineStr"/>
      <c r="F53" s="3" t="inlineStr"/>
    </row>
    <row r="54">
      <c r="A54" s="20" t="inlineStr"/>
      <c r="B54" s="22" t="n"/>
      <c r="C54" s="22" t="n"/>
      <c r="D54" s="23">
        <f>IF($A54="","",IF(ISNUMBER($C54),$C54,$B54))</f>
        <v/>
      </c>
      <c r="E54" s="20" t="inlineStr"/>
      <c r="F54" s="3" t="inlineStr"/>
    </row>
    <row r="55">
      <c r="A55" s="20" t="inlineStr"/>
      <c r="B55" s="22" t="n"/>
      <c r="C55" s="22" t="n"/>
      <c r="D55" s="23">
        <f>IF($A55="","",IF(ISNUMBER($C55),$C55,$B55))</f>
        <v/>
      </c>
      <c r="E55" s="20" t="inlineStr"/>
      <c r="F55" s="3" t="inlineStr"/>
    </row>
    <row r="56">
      <c r="A56" s="20" t="inlineStr"/>
      <c r="B56" s="22" t="n"/>
      <c r="C56" s="22" t="n"/>
      <c r="D56" s="23">
        <f>IF($A56="","",IF(ISNUMBER($C56),$C56,$B56))</f>
        <v/>
      </c>
      <c r="E56" s="20" t="inlineStr"/>
      <c r="F56" s="3" t="inlineStr"/>
    </row>
    <row r="59">
      <c r="A59" s="4" t="inlineStr">
        <is>
          <t>5. HCFX BUCKET LIST (drives the HCFX sheet — add a row here when you add a new bucket in section 4)</t>
        </is>
      </c>
      <c r="B59" s="5" t="n"/>
      <c r="C59" s="5" t="n"/>
      <c r="D59" s="5" t="n"/>
      <c r="E59" s="5" t="n"/>
      <c r="F59" s="5" t="n"/>
    </row>
    <row r="60">
      <c r="A60" s="12" t="inlineStr">
        <is>
          <t>Bucket</t>
        </is>
      </c>
    </row>
    <row r="61">
      <c r="A61" s="20" t="inlineStr">
        <is>
          <t>USD&amp;HKD</t>
        </is>
      </c>
    </row>
    <row r="62">
      <c r="A62" s="20" t="inlineStr">
        <is>
          <t>CHF</t>
        </is>
      </c>
    </row>
    <row r="63">
      <c r="A63" s="20" t="inlineStr">
        <is>
          <t>EUR</t>
        </is>
      </c>
    </row>
    <row r="64">
      <c r="A64" s="20" t="inlineStr">
        <is>
          <t>GBP</t>
        </is>
      </c>
    </row>
    <row r="65">
      <c r="A65" s="20" t="inlineStr">
        <is>
          <t>SGD</t>
        </is>
      </c>
    </row>
    <row r="66">
      <c r="A66" s="20" t="inlineStr">
        <is>
          <t>JPY</t>
        </is>
      </c>
    </row>
    <row r="67">
      <c r="A67" s="20" t="inlineStr">
        <is>
          <t>CNH</t>
        </is>
      </c>
    </row>
    <row r="68">
      <c r="A68" s="20" t="inlineStr"/>
    </row>
    <row r="69">
      <c r="A69" s="20" t="inlineStr"/>
    </row>
    <row r="70">
      <c r="A70" s="20" t="inlineStr"/>
    </row>
    <row r="73">
      <c r="A73" s="4" t="inlineStr">
        <is>
          <t>6. FACILITIES / EXPOSURE (loans drawn — any currency, any number of lines)</t>
        </is>
      </c>
      <c r="B73" s="5" t="n"/>
      <c r="C73" s="5" t="n"/>
      <c r="D73" s="5" t="n"/>
      <c r="E73" s="5" t="n"/>
      <c r="F73" s="5" t="n"/>
    </row>
    <row r="74">
      <c r="A74" s="12" t="inlineStr">
        <is>
          <t>Facility</t>
        </is>
      </c>
      <c r="B74" s="12" t="inlineStr">
        <is>
          <t>Ccy</t>
        </is>
      </c>
      <c r="C74" s="12" t="inlineStr">
        <is>
          <t>Amount (facility ccy)</t>
        </is>
      </c>
      <c r="D74" s="12" t="inlineStr">
        <is>
          <t>Rate used</t>
        </is>
      </c>
      <c r="E74" s="12" t="inlineStr">
        <is>
          <t>Amount (ref ccy)</t>
        </is>
      </c>
      <c r="F74" s="12" t="inlineStr">
        <is>
          <t>HCFX Bucket</t>
        </is>
      </c>
    </row>
    <row r="75">
      <c r="A75" s="20" t="inlineStr">
        <is>
          <t>Lombard loan</t>
        </is>
      </c>
      <c r="B75" s="20" t="inlineStr">
        <is>
          <t>CHF</t>
        </is>
      </c>
      <c r="C75" s="24" t="n">
        <v>1604693</v>
      </c>
      <c r="D75" s="23">
        <f>IF($B75="","",IFERROR(VLOOKUP($B75,FXRates,4,FALSE),1))</f>
        <v/>
      </c>
      <c r="E75" s="25">
        <f>IF($B75="","",$C75*$D75)</f>
        <v/>
      </c>
      <c r="F75" s="26">
        <f>IF($B75="","",IFERROR(VLOOKUP($B75,FXRates,5,FALSE),$B75))</f>
        <v/>
      </c>
    </row>
    <row r="76">
      <c r="A76" s="20" t="inlineStr"/>
      <c r="B76" s="20" t="inlineStr"/>
      <c r="C76" s="24" t="n"/>
      <c r="D76" s="23">
        <f>IF($B76="","",IFERROR(VLOOKUP($B76,FXRates,4,FALSE),1))</f>
        <v/>
      </c>
      <c r="E76" s="25">
        <f>IF($B76="","",$C76*$D76)</f>
        <v/>
      </c>
      <c r="F76" s="26">
        <f>IF($B76="","",IFERROR(VLOOKUP($B76,FXRates,5,FALSE),$B76))</f>
        <v/>
      </c>
    </row>
    <row r="77">
      <c r="A77" s="20" t="inlineStr"/>
      <c r="B77" s="20" t="inlineStr"/>
      <c r="C77" s="24" t="n"/>
      <c r="D77" s="23">
        <f>IF($B77="","",IFERROR(VLOOKUP($B77,FXRates,4,FALSE),1))</f>
        <v/>
      </c>
      <c r="E77" s="25">
        <f>IF($B77="","",$C77*$D77)</f>
        <v/>
      </c>
      <c r="F77" s="26">
        <f>IF($B77="","",IFERROR(VLOOKUP($B77,FXRates,5,FALSE),$B77))</f>
        <v/>
      </c>
    </row>
    <row r="78">
      <c r="A78" s="20" t="inlineStr"/>
      <c r="B78" s="20" t="inlineStr"/>
      <c r="C78" s="24" t="n"/>
      <c r="D78" s="23">
        <f>IF($B78="","",IFERROR(VLOOKUP($B78,FXRates,4,FALSE),1))</f>
        <v/>
      </c>
      <c r="E78" s="25">
        <f>IF($B78="","",$C78*$D78)</f>
        <v/>
      </c>
      <c r="F78" s="26">
        <f>IF($B78="","",IFERROR(VLOOKUP($B78,FXRates,5,FALSE),$B78))</f>
        <v/>
      </c>
    </row>
    <row r="79">
      <c r="A79" s="20" t="inlineStr"/>
      <c r="B79" s="20" t="inlineStr"/>
      <c r="C79" s="24" t="n"/>
      <c r="D79" s="23">
        <f>IF($B79="","",IFERROR(VLOOKUP($B79,FXRates,4,FALSE),1))</f>
        <v/>
      </c>
      <c r="E79" s="25">
        <f>IF($B79="","",$C79*$D79)</f>
        <v/>
      </c>
      <c r="F79" s="26">
        <f>IF($B79="","",IFERROR(VLOOKUP($B79,FXRates,5,FALSE),$B79))</f>
        <v/>
      </c>
    </row>
    <row r="80">
      <c r="A80" s="20" t="inlineStr"/>
      <c r="B80" s="20" t="inlineStr"/>
      <c r="C80" s="24" t="n"/>
      <c r="D80" s="23">
        <f>IF($B80="","",IFERROR(VLOOKUP($B80,FXRates,4,FALSE),1))</f>
        <v/>
      </c>
      <c r="E80" s="25">
        <f>IF($B80="","",$C80*$D80)</f>
        <v/>
      </c>
      <c r="F80" s="26">
        <f>IF($B80="","",IFERROR(VLOOKUP($B80,FXRates,5,FALSE),$B80))</f>
        <v/>
      </c>
    </row>
    <row r="81">
      <c r="A81" s="20" t="inlineStr"/>
      <c r="B81" s="20" t="inlineStr"/>
      <c r="C81" s="24" t="n"/>
      <c r="D81" s="23">
        <f>IF($B81="","",IFERROR(VLOOKUP($B81,FXRates,4,FALSE),1))</f>
        <v/>
      </c>
      <c r="E81" s="25">
        <f>IF($B81="","",$C81*$D81)</f>
        <v/>
      </c>
      <c r="F81" s="26">
        <f>IF($B81="","",IFERROR(VLOOKUP($B81,FXRates,5,FALSE),$B81))</f>
        <v/>
      </c>
    </row>
    <row r="82">
      <c r="A82" s="20" t="inlineStr"/>
      <c r="B82" s="20" t="inlineStr"/>
      <c r="C82" s="24" t="n"/>
      <c r="D82" s="23">
        <f>IF($B82="","",IFERROR(VLOOKUP($B82,FXRates,4,FALSE),1))</f>
        <v/>
      </c>
      <c r="E82" s="25">
        <f>IF($B82="","",$C82*$D82)</f>
        <v/>
      </c>
      <c r="F82" s="26">
        <f>IF($B82="","",IFERROR(VLOOKUP($B82,FXRates,5,FALSE),$B82))</f>
        <v/>
      </c>
    </row>
    <row r="83">
      <c r="A83" s="27" t="inlineStr">
        <is>
          <t>TOTAL EXPOSURE</t>
        </is>
      </c>
      <c r="E83" s="28">
        <f>SUM(E75:E82)</f>
        <v/>
      </c>
    </row>
    <row r="85">
      <c r="A85" s="3" t="inlineStr">
        <is>
          <t>Yellow cells = inputs. Blue cells = formulas. Add rows inside the marked table ranges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AA8"/>
    <outlinePr summaryBelow="1" summaryRight="1"/>
    <pageSetUpPr/>
  </sheetPr>
  <dimension ref="A1:AK2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6" customWidth="1" min="4" max="4"/>
    <col width="22" customWidth="1" min="5" max="5"/>
    <col width="15" customWidth="1" min="6" max="6"/>
    <col width="6" customWidth="1" min="7" max="7"/>
    <col width="10" customWidth="1" min="8" max="8"/>
    <col width="11" customWidth="1" min="9" max="9"/>
    <col width="11" customWidth="1" min="10" max="10"/>
    <col width="11" customWidth="1" min="11" max="11"/>
    <col width="9" customWidth="1" min="12" max="12"/>
    <col width="14" customWidth="1" min="13" max="13"/>
    <col width="9" customWidth="1" min="14" max="14"/>
    <col width="8" customWidth="1" min="15" max="15"/>
    <col width="14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4" customWidth="1" min="27" max="27"/>
    <col width="13" customWidth="1" min="28" max="28"/>
    <col width="9" customWidth="1" min="29" max="29"/>
    <col width="13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8" customWidth="1" min="36" max="36"/>
    <col width="14" customWidth="1" min="37" max="37"/>
  </cols>
  <sheetData>
    <row r="1">
      <c r="A1" s="1" t="inlineStr">
        <is>
          <t>POSITIONS &amp; COLLATERAL ENGINE — paste any portfolio here; everything below row 4 recalculates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B2" s="3" t="inlineStr">
        <is>
          <t>Marketable CV:</t>
        </is>
      </c>
      <c r="C2" s="29">
        <f>SUMIFS($P$5:$P$204,$D$5:$D$204,"&lt;&gt;"&amp;CashLabel,$B$5:$B$204,"&lt;&gt;")</f>
        <v/>
      </c>
      <c r="D2" s="3" t="inlineStr">
        <is>
          <t>Cash CV:</t>
        </is>
      </c>
      <c r="E2" s="29">
        <f>SUMIFS($P$5:$P$204,$D$5:$D$204,CashLabel)</f>
        <v/>
      </c>
      <c r="F2" s="3" t="inlineStr">
        <is>
          <t>Cash recognised:</t>
        </is>
      </c>
      <c r="G2" s="29">
        <f>MIN($E$2,$C$2*CashCapPct)</f>
        <v/>
      </c>
      <c r="H2" s="3" t="inlineStr">
        <is>
          <t>Conc denominator:</t>
        </is>
      </c>
      <c r="I2" s="29">
        <f>$C$2+$G$2</f>
        <v/>
      </c>
      <c r="J2" s="3" t="inlineStr">
        <is>
          <t>Str. marketable CV:</t>
        </is>
      </c>
      <c r="K2" s="29">
        <f>SUMIFS($AE$5:$AE$204,$D$5:$D$204,"&lt;&gt;"&amp;CashLabel,$B$5:$B$204,"&lt;&gt;")</f>
        <v/>
      </c>
      <c r="L2" s="3" t="inlineStr">
        <is>
          <t>Str. cash CV:</t>
        </is>
      </c>
      <c r="M2" s="29">
        <f>SUMIFS($AE$5:$AE$204,$D$5:$D$204,CashLabel)</f>
        <v/>
      </c>
      <c r="N2" s="3" t="inlineStr">
        <is>
          <t>Str. cash recognised:</t>
        </is>
      </c>
      <c r="O2" s="29">
        <f>MIN($M$2,$K$2*CashCapPct)</f>
        <v/>
      </c>
      <c r="P2" s="3" t="inlineStr">
        <is>
          <t>Str. denominator:</t>
        </is>
      </c>
      <c r="Q2" s="29">
        <f>$K$2+$O$2</f>
        <v/>
      </c>
    </row>
    <row r="3">
      <c r="B3" s="3" t="inlineStr">
        <is>
          <t>Denominator = Marketable CV + MIN(Cash CV, cap% x Marketable CV)   |   cash rows: LV 100%, concentration-exempt, HCFX still applies</t>
        </is>
      </c>
    </row>
    <row r="4" ht="42" customHeight="1">
      <c r="A4" s="12" t="inlineStr">
        <is>
          <t>Line</t>
        </is>
      </c>
      <c r="B4" s="12" t="inlineStr">
        <is>
          <t>Security / Position</t>
        </is>
      </c>
      <c r="C4" s="12" t="inlineStr">
        <is>
          <t>Ticker</t>
        </is>
      </c>
      <c r="D4" s="12" t="inlineStr">
        <is>
          <t>Asset Type</t>
        </is>
      </c>
      <c r="E4" s="12" t="inlineStr">
        <is>
          <t>Issuer</t>
        </is>
      </c>
      <c r="F4" s="12" t="inlineStr">
        <is>
          <t>Country of Risk</t>
        </is>
      </c>
      <c r="G4" s="12" t="inlineStr">
        <is>
          <t>Ccy</t>
        </is>
      </c>
      <c r="H4" s="12" t="inlineStr">
        <is>
          <t>Quantity</t>
        </is>
      </c>
      <c r="I4" s="12" t="inlineStr">
        <is>
          <t>Price (manual)</t>
        </is>
      </c>
      <c r="J4" s="12" t="inlineStr">
        <is>
          <t>Price (live, optional)</t>
        </is>
      </c>
      <c r="K4" s="12" t="inlineStr">
        <is>
          <t>Price used</t>
        </is>
      </c>
      <c r="L4" s="12" t="inlineStr">
        <is>
          <t>FX rate used</t>
        </is>
      </c>
      <c r="M4" s="12" t="inlineStr">
        <is>
          <t>Market Value (ref ccy)</t>
        </is>
      </c>
      <c r="N4" s="12" t="inlineStr">
        <is>
          <t>LV% override</t>
        </is>
      </c>
      <c r="O4" s="12" t="inlineStr">
        <is>
          <t>LV% used</t>
        </is>
      </c>
      <c r="P4" s="12" t="inlineStr">
        <is>
          <t>Collateral Value (CV)</t>
        </is>
      </c>
      <c r="Q4" s="12" t="inlineStr">
        <is>
          <t>HCFX Bucket</t>
        </is>
      </c>
      <c r="R4" s="12" t="inlineStr">
        <is>
          <t>Single-Counter ratio</t>
        </is>
      </c>
      <c r="S4" s="12" t="inlineStr">
        <is>
          <t>Issuer ratio</t>
        </is>
      </c>
      <c r="T4" s="12" t="inlineStr">
        <is>
          <t>Country ratio</t>
        </is>
      </c>
      <c r="U4" s="12" t="inlineStr">
        <is>
          <t>Asset-Type ratio</t>
        </is>
      </c>
      <c r="V4" s="12" t="inlineStr">
        <is>
          <t>Adj Factor Single</t>
        </is>
      </c>
      <c r="W4" s="12" t="inlineStr">
        <is>
          <t>Adj Factor Issuer</t>
        </is>
      </c>
      <c r="X4" s="12" t="inlineStr">
        <is>
          <t>Adj Factor Country</t>
        </is>
      </c>
      <c r="Y4" s="12" t="inlineStr">
        <is>
          <t>Adj Factor Asset</t>
        </is>
      </c>
      <c r="Z4" s="12" t="inlineStr">
        <is>
          <t>Min Adj Factor</t>
        </is>
      </c>
      <c r="AA4" s="12" t="inlineStr">
        <is>
          <t>Conc Adj CV</t>
        </is>
      </c>
      <c r="AB4" s="12" t="inlineStr">
        <is>
          <t>Concentration Penalty</t>
        </is>
      </c>
      <c r="AC4" s="12" t="inlineStr">
        <is>
          <t>Price shock % (input)</t>
        </is>
      </c>
      <c r="AD4" s="12" t="inlineStr">
        <is>
          <t>Stressed MV</t>
        </is>
      </c>
      <c r="AE4" s="12" t="inlineStr">
        <is>
          <t>Stressed CV</t>
        </is>
      </c>
      <c r="AF4" s="12" t="inlineStr">
        <is>
          <t>s-Single ratio</t>
        </is>
      </c>
      <c r="AG4" s="12" t="inlineStr">
        <is>
          <t>s-Issuer ratio</t>
        </is>
      </c>
      <c r="AH4" s="12" t="inlineStr">
        <is>
          <t>s-Country ratio</t>
        </is>
      </c>
      <c r="AI4" s="12" t="inlineStr">
        <is>
          <t>s-Asset ratio</t>
        </is>
      </c>
      <c r="AJ4" s="12" t="inlineStr">
        <is>
          <t>s-Min Factor</t>
        </is>
      </c>
      <c r="AK4" s="12" t="inlineStr">
        <is>
          <t>Stressed Conc Adj CV</t>
        </is>
      </c>
    </row>
    <row r="5">
      <c r="A5" s="16">
        <f>IF($B5="","",ROW()-4)</f>
        <v/>
      </c>
      <c r="B5" s="20" t="inlineStr">
        <is>
          <t>Meta Platforms Inc</t>
        </is>
      </c>
      <c r="C5" s="20" t="inlineStr">
        <is>
          <t>META</t>
        </is>
      </c>
      <c r="D5" s="20" t="inlineStr">
        <is>
          <t>Listed Equity</t>
        </is>
      </c>
      <c r="E5" s="20" t="inlineStr">
        <is>
          <t>Meta Platforms Inc</t>
        </is>
      </c>
      <c r="F5" s="20" t="inlineStr">
        <is>
          <t>United States</t>
        </is>
      </c>
      <c r="G5" s="20" t="inlineStr">
        <is>
          <t>USD</t>
        </is>
      </c>
      <c r="H5" s="30" t="n">
        <v>2800</v>
      </c>
      <c r="I5" s="30" t="n">
        <v>542.87</v>
      </c>
      <c r="J5" s="30" t="n"/>
      <c r="K5" s="31">
        <f>IF($B5="","",IF(ISNUMBER($J5),$J5,$I5))</f>
        <v/>
      </c>
      <c r="L5" s="32">
        <f>IF($B5="","",IFERROR(VLOOKUP($G5,FXRates,4,FALSE),1))</f>
        <v/>
      </c>
      <c r="M5" s="33">
        <f>IF($B5="","",$H5*$K5*$L5)</f>
        <v/>
      </c>
      <c r="N5" s="21" t="n"/>
      <c r="O5" s="14">
        <f>IF($B5="","",IF($D5=CashLabel,IF(ISNUMBER($N5),$N5,1),MIN(IF(ISNUMBER($N5),$N5,IFERROR(VLOOKUP($D5,LVTable,2,FALSE),0)),LVCap)))</f>
        <v/>
      </c>
      <c r="P5" s="25">
        <f>IF($B5="","",$M5*$O5)</f>
        <v/>
      </c>
      <c r="Q5" s="16">
        <f>IF($B5="","",IFERROR(VLOOKUP($G5,FXRates,5,FALSE),$G5))</f>
        <v/>
      </c>
      <c r="R5" s="14">
        <f>IF($B5="","",IF($D5=CashLabel,"",SUMIFS($P$5:$P$204,$B$5:$B$204,$B5,$D$5:$D$204,"&lt;&gt;"&amp;CashLabel)/ConcDenom))</f>
        <v/>
      </c>
      <c r="S5" s="14">
        <f>IF($B5="","",IF($D5=CashLabel,"",SUMIFS($P$5:$P$204,$E$5:$E$204,$E5,$D$5:$D$204,"&lt;&gt;"&amp;CashLabel)/ConcDenom))</f>
        <v/>
      </c>
      <c r="T5" s="14">
        <f>IF($B5="","",IF($D5=CashLabel,"",SUMIFS($P$5:$P$204,$F$5:$F$204,$F5,$D$5:$D$204,"&lt;&gt;"&amp;CashLabel)/ConcDenom))</f>
        <v/>
      </c>
      <c r="U5" s="14">
        <f>IF($B5="","",IF($D5=CashLabel,"",SUMIFS($P$5:$P$204,$D$5:$D$204,$D5,$D$5:$D$204,"&lt;&gt;"&amp;CashLabel)/ConcDenom))</f>
        <v/>
      </c>
      <c r="V5" s="15">
        <f>IF($B5="","",IF($D5=CashLabel,1,IF($R5&gt;ThrSingle,ThrSingle/$R5,1)))</f>
        <v/>
      </c>
      <c r="W5" s="15">
        <f>IF($B5="","",IF($D5=CashLabel,1,IF($S5&gt;ThrIssuer,ThrIssuer/$S5,1)))</f>
        <v/>
      </c>
      <c r="X5" s="15">
        <f>IF($B5="","",IF($D5=CashLabel,1,IF($T5&gt;IFERROR(VLOOKUP($F5,CountryThr,2,FALSE),DefThrCountry),IFERROR(VLOOKUP($F5,CountryThr,2,FALSE),DefThrCountry)/$T5,1)))</f>
        <v/>
      </c>
      <c r="Y5" s="15">
        <f>IF($B5="","",IF($D5=CashLabel,1,IF($U5&gt;IFERROR(VLOOKUP($D5,LVTable,3,FALSE),DefThrAsset),IFERROR(VLOOKUP($D5,LVTable,3,FALSE),DefThrAsset)/$U5,1)))</f>
        <v/>
      </c>
      <c r="Z5" s="34">
        <f>IF($B5="","",IF($D5=CashLabel,1,MIN($V5:$Y5)))</f>
        <v/>
      </c>
      <c r="AA5" s="25">
        <f>IF($B5="","",$P5*$Z5)</f>
        <v/>
      </c>
      <c r="AB5" s="33">
        <f>IF($B5="","",$P5-$AA5)</f>
        <v/>
      </c>
      <c r="AC5" s="21" t="n">
        <v>-0.25</v>
      </c>
      <c r="AD5" s="33">
        <f>IF($B5="","",$M5*(1+IF(ISNUMBER($AC5),$AC5,0)))</f>
        <v/>
      </c>
      <c r="AE5" s="33">
        <f>IF($B5="","",$AD5*$O5)</f>
        <v/>
      </c>
      <c r="AF5" s="14">
        <f>IF($B5="","",IF($D5=CashLabel,"",SUMIFS($AE$5:$AE$204,$B$5:$B$204,$B5,$D$5:$D$204,"&lt;&gt;"&amp;CashLabel)/ConcDenomStr))</f>
        <v/>
      </c>
      <c r="AG5" s="14">
        <f>IF($B5="","",IF($D5=CashLabel,"",SUMIFS($AE$5:$AE$204,$E$5:$E$204,$E5,$D$5:$D$204,"&lt;&gt;"&amp;CashLabel)/ConcDenomStr))</f>
        <v/>
      </c>
      <c r="AH5" s="14">
        <f>IF($B5="","",IF($D5=CashLabel,"",SUMIFS($AE$5:$AE$204,$F$5:$F$204,$F5,$D$5:$D$204,"&lt;&gt;"&amp;CashLabel)/ConcDenomStr))</f>
        <v/>
      </c>
      <c r="AI5" s="14">
        <f>IF($B5="","",IF($D5=CashLabel,"",SUMIFS($AE$5:$AE$204,$D$5:$D$204,$D5,$D$5:$D$204,"&lt;&gt;"&amp;CashLabel)/ConcDenomStr))</f>
        <v/>
      </c>
      <c r="AJ5" s="15">
        <f>IF($B5="","",IF($D5=CashLabel,1,MIN(IF($AF5&gt;ThrSingle,ThrSingle/$AF5,1),IF($AG5&gt;ThrIssuer,ThrIssuer/$AG5,1),IF($AH5&gt;IFERROR(VLOOKUP($F5,CountryThr,2,FALSE),DefThrCountry),IFERROR(VLOOKUP($F5,CountryThr,2,FALSE),DefThrCountry)/$AH5,1),IF($AI5&gt;IFERROR(VLOOKUP($D5,LVTable,3,FALSE),DefThrAsset),IFERROR(VLOOKUP($D5,LVTable,3,FALSE),DefThrAsset)/$AI5,1))))</f>
        <v/>
      </c>
      <c r="AK5" s="33">
        <f>IF($B5="","",$AE5*$AJ5)</f>
        <v/>
      </c>
    </row>
    <row r="6">
      <c r="A6" s="16">
        <f>IF($B6="","",ROW()-4)</f>
        <v/>
      </c>
      <c r="B6" s="20" t="inlineStr">
        <is>
          <t>Roblox Corp</t>
        </is>
      </c>
      <c r="C6" s="20" t="inlineStr">
        <is>
          <t>RBLX</t>
        </is>
      </c>
      <c r="D6" s="20" t="inlineStr">
        <is>
          <t>Listed Equity</t>
        </is>
      </c>
      <c r="E6" s="20" t="inlineStr">
        <is>
          <t>Roblox Corp</t>
        </is>
      </c>
      <c r="F6" s="20" t="inlineStr">
        <is>
          <t>United States</t>
        </is>
      </c>
      <c r="G6" s="20" t="inlineStr">
        <is>
          <t>USD</t>
        </is>
      </c>
      <c r="H6" s="30" t="n">
        <v>9800</v>
      </c>
      <c r="I6" s="30" t="n">
        <v>46.39</v>
      </c>
      <c r="J6" s="30" t="n"/>
      <c r="K6" s="31">
        <f>IF($B6="","",IF(ISNUMBER($J6),$J6,$I6))</f>
        <v/>
      </c>
      <c r="L6" s="32">
        <f>IF($B6="","",IFERROR(VLOOKUP($G6,FXRates,4,FALSE),1))</f>
        <v/>
      </c>
      <c r="M6" s="33">
        <f>IF($B6="","",$H6*$K6*$L6)</f>
        <v/>
      </c>
      <c r="N6" s="21" t="n"/>
      <c r="O6" s="14">
        <f>IF($B6="","",IF($D6=CashLabel,IF(ISNUMBER($N6),$N6,1),MIN(IF(ISNUMBER($N6),$N6,IFERROR(VLOOKUP($D6,LVTable,2,FALSE),0)),LVCap)))</f>
        <v/>
      </c>
      <c r="P6" s="25">
        <f>IF($B6="","",$M6*$O6)</f>
        <v/>
      </c>
      <c r="Q6" s="16">
        <f>IF($B6="","",IFERROR(VLOOKUP($G6,FXRates,5,FALSE),$G6))</f>
        <v/>
      </c>
      <c r="R6" s="14">
        <f>IF($B6="","",IF($D6=CashLabel,"",SUMIFS($P$5:$P$204,$B$5:$B$204,$B6,$D$5:$D$204,"&lt;&gt;"&amp;CashLabel)/ConcDenom))</f>
        <v/>
      </c>
      <c r="S6" s="14">
        <f>IF($B6="","",IF($D6=CashLabel,"",SUMIFS($P$5:$P$204,$E$5:$E$204,$E6,$D$5:$D$204,"&lt;&gt;"&amp;CashLabel)/ConcDenom))</f>
        <v/>
      </c>
      <c r="T6" s="14">
        <f>IF($B6="","",IF($D6=CashLabel,"",SUMIFS($P$5:$P$204,$F$5:$F$204,$F6,$D$5:$D$204,"&lt;&gt;"&amp;CashLabel)/ConcDenom))</f>
        <v/>
      </c>
      <c r="U6" s="14">
        <f>IF($B6="","",IF($D6=CashLabel,"",SUMIFS($P$5:$P$204,$D$5:$D$204,$D6,$D$5:$D$204,"&lt;&gt;"&amp;CashLabel)/ConcDenom))</f>
        <v/>
      </c>
      <c r="V6" s="15">
        <f>IF($B6="","",IF($D6=CashLabel,1,IF($R6&gt;ThrSingle,ThrSingle/$R6,1)))</f>
        <v/>
      </c>
      <c r="W6" s="15">
        <f>IF($B6="","",IF($D6=CashLabel,1,IF($S6&gt;ThrIssuer,ThrIssuer/$S6,1)))</f>
        <v/>
      </c>
      <c r="X6" s="15">
        <f>IF($B6="","",IF($D6=CashLabel,1,IF($T6&gt;IFERROR(VLOOKUP($F6,CountryThr,2,FALSE),DefThrCountry),IFERROR(VLOOKUP($F6,CountryThr,2,FALSE),DefThrCountry)/$T6,1)))</f>
        <v/>
      </c>
      <c r="Y6" s="15">
        <f>IF($B6="","",IF($D6=CashLabel,1,IF($U6&gt;IFERROR(VLOOKUP($D6,LVTable,3,FALSE),DefThrAsset),IFERROR(VLOOKUP($D6,LVTable,3,FALSE),DefThrAsset)/$U6,1)))</f>
        <v/>
      </c>
      <c r="Z6" s="34">
        <f>IF($B6="","",IF($D6=CashLabel,1,MIN($V6:$Y6)))</f>
        <v/>
      </c>
      <c r="AA6" s="25">
        <f>IF($B6="","",$P6*$Z6)</f>
        <v/>
      </c>
      <c r="AB6" s="33">
        <f>IF($B6="","",$P6-$AA6)</f>
        <v/>
      </c>
      <c r="AC6" s="21" t="n">
        <v>-0.25</v>
      </c>
      <c r="AD6" s="33">
        <f>IF($B6="","",$M6*(1+IF(ISNUMBER($AC6),$AC6,0)))</f>
        <v/>
      </c>
      <c r="AE6" s="33">
        <f>IF($B6="","",$AD6*$O6)</f>
        <v/>
      </c>
      <c r="AF6" s="14">
        <f>IF($B6="","",IF($D6=CashLabel,"",SUMIFS($AE$5:$AE$204,$B$5:$B$204,$B6,$D$5:$D$204,"&lt;&gt;"&amp;CashLabel)/ConcDenomStr))</f>
        <v/>
      </c>
      <c r="AG6" s="14">
        <f>IF($B6="","",IF($D6=CashLabel,"",SUMIFS($AE$5:$AE$204,$E$5:$E$204,$E6,$D$5:$D$204,"&lt;&gt;"&amp;CashLabel)/ConcDenomStr))</f>
        <v/>
      </c>
      <c r="AH6" s="14">
        <f>IF($B6="","",IF($D6=CashLabel,"",SUMIFS($AE$5:$AE$204,$F$5:$F$204,$F6,$D$5:$D$204,"&lt;&gt;"&amp;CashLabel)/ConcDenomStr))</f>
        <v/>
      </c>
      <c r="AI6" s="14">
        <f>IF($B6="","",IF($D6=CashLabel,"",SUMIFS($AE$5:$AE$204,$D$5:$D$204,$D6,$D$5:$D$204,"&lt;&gt;"&amp;CashLabel)/ConcDenomStr))</f>
        <v/>
      </c>
      <c r="AJ6" s="15">
        <f>IF($B6="","",IF($D6=CashLabel,1,MIN(IF($AF6&gt;ThrSingle,ThrSingle/$AF6,1),IF($AG6&gt;ThrIssuer,ThrIssuer/$AG6,1),IF($AH6&gt;IFERROR(VLOOKUP($F6,CountryThr,2,FALSE),DefThrCountry),IFERROR(VLOOKUP($F6,CountryThr,2,FALSE),DefThrCountry)/$AH6,1),IF($AI6&gt;IFERROR(VLOOKUP($D6,LVTable,3,FALSE),DefThrAsset),IFERROR(VLOOKUP($D6,LVTable,3,FALSE),DefThrAsset)/$AI6,1))))</f>
        <v/>
      </c>
      <c r="AK6" s="33">
        <f>IF($B6="","",$AE6*$AJ6)</f>
        <v/>
      </c>
    </row>
    <row r="7">
      <c r="A7" s="16">
        <f>IF($B7="","",ROW()-4)</f>
        <v/>
      </c>
      <c r="B7" s="20" t="inlineStr">
        <is>
          <t>FCN on HOOD (Robinhood)</t>
        </is>
      </c>
      <c r="C7" s="20" t="inlineStr"/>
      <c r="D7" s="20" t="inlineStr">
        <is>
          <t>Structured Product</t>
        </is>
      </c>
      <c r="E7" s="20" t="inlineStr">
        <is>
          <t>Issuing Bank A</t>
        </is>
      </c>
      <c r="F7" s="20" t="inlineStr">
        <is>
          <t>United States</t>
        </is>
      </c>
      <c r="G7" s="20" t="inlineStr">
        <is>
          <t>USD</t>
        </is>
      </c>
      <c r="H7" s="30" t="n">
        <v>1</v>
      </c>
      <c r="I7" s="30" t="n">
        <v>600000</v>
      </c>
      <c r="J7" s="30" t="n"/>
      <c r="K7" s="31">
        <f>IF($B7="","",IF(ISNUMBER($J7),$J7,$I7))</f>
        <v/>
      </c>
      <c r="L7" s="32">
        <f>IF($B7="","",IFERROR(VLOOKUP($G7,FXRates,4,FALSE),1))</f>
        <v/>
      </c>
      <c r="M7" s="33">
        <f>IF($B7="","",$H7*$K7*$L7)</f>
        <v/>
      </c>
      <c r="N7" s="21" t="n"/>
      <c r="O7" s="14">
        <f>IF($B7="","",IF($D7=CashLabel,IF(ISNUMBER($N7),$N7,1),MIN(IF(ISNUMBER($N7),$N7,IFERROR(VLOOKUP($D7,LVTable,2,FALSE),0)),LVCap)))</f>
        <v/>
      </c>
      <c r="P7" s="25">
        <f>IF($B7="","",$M7*$O7)</f>
        <v/>
      </c>
      <c r="Q7" s="16">
        <f>IF($B7="","",IFERROR(VLOOKUP($G7,FXRates,5,FALSE),$G7))</f>
        <v/>
      </c>
      <c r="R7" s="14">
        <f>IF($B7="","",IF($D7=CashLabel,"",SUMIFS($P$5:$P$204,$B$5:$B$204,$B7,$D$5:$D$204,"&lt;&gt;"&amp;CashLabel)/ConcDenom))</f>
        <v/>
      </c>
      <c r="S7" s="14">
        <f>IF($B7="","",IF($D7=CashLabel,"",SUMIFS($P$5:$P$204,$E$5:$E$204,$E7,$D$5:$D$204,"&lt;&gt;"&amp;CashLabel)/ConcDenom))</f>
        <v/>
      </c>
      <c r="T7" s="14">
        <f>IF($B7="","",IF($D7=CashLabel,"",SUMIFS($P$5:$P$204,$F$5:$F$204,$F7,$D$5:$D$204,"&lt;&gt;"&amp;CashLabel)/ConcDenom))</f>
        <v/>
      </c>
      <c r="U7" s="14">
        <f>IF($B7="","",IF($D7=CashLabel,"",SUMIFS($P$5:$P$204,$D$5:$D$204,$D7,$D$5:$D$204,"&lt;&gt;"&amp;CashLabel)/ConcDenom))</f>
        <v/>
      </c>
      <c r="V7" s="15">
        <f>IF($B7="","",IF($D7=CashLabel,1,IF($R7&gt;ThrSingle,ThrSingle/$R7,1)))</f>
        <v/>
      </c>
      <c r="W7" s="15">
        <f>IF($B7="","",IF($D7=CashLabel,1,IF($S7&gt;ThrIssuer,ThrIssuer/$S7,1)))</f>
        <v/>
      </c>
      <c r="X7" s="15">
        <f>IF($B7="","",IF($D7=CashLabel,1,IF($T7&gt;IFERROR(VLOOKUP($F7,CountryThr,2,FALSE),DefThrCountry),IFERROR(VLOOKUP($F7,CountryThr,2,FALSE),DefThrCountry)/$T7,1)))</f>
        <v/>
      </c>
      <c r="Y7" s="15">
        <f>IF($B7="","",IF($D7=CashLabel,1,IF($U7&gt;IFERROR(VLOOKUP($D7,LVTable,3,FALSE),DefThrAsset),IFERROR(VLOOKUP($D7,LVTable,3,FALSE),DefThrAsset)/$U7,1)))</f>
        <v/>
      </c>
      <c r="Z7" s="34">
        <f>IF($B7="","",IF($D7=CashLabel,1,MIN($V7:$Y7)))</f>
        <v/>
      </c>
      <c r="AA7" s="25">
        <f>IF($B7="","",$P7*$Z7)</f>
        <v/>
      </c>
      <c r="AB7" s="33">
        <f>IF($B7="","",$P7-$AA7)</f>
        <v/>
      </c>
      <c r="AC7" s="21" t="n">
        <v>-0.15</v>
      </c>
      <c r="AD7" s="33">
        <f>IF($B7="","",$M7*(1+IF(ISNUMBER($AC7),$AC7,0)))</f>
        <v/>
      </c>
      <c r="AE7" s="33">
        <f>IF($B7="","",$AD7*$O7)</f>
        <v/>
      </c>
      <c r="AF7" s="14">
        <f>IF($B7="","",IF($D7=CashLabel,"",SUMIFS($AE$5:$AE$204,$B$5:$B$204,$B7,$D$5:$D$204,"&lt;&gt;"&amp;CashLabel)/ConcDenomStr))</f>
        <v/>
      </c>
      <c r="AG7" s="14">
        <f>IF($B7="","",IF($D7=CashLabel,"",SUMIFS($AE$5:$AE$204,$E$5:$E$204,$E7,$D$5:$D$204,"&lt;&gt;"&amp;CashLabel)/ConcDenomStr))</f>
        <v/>
      </c>
      <c r="AH7" s="14">
        <f>IF($B7="","",IF($D7=CashLabel,"",SUMIFS($AE$5:$AE$204,$F$5:$F$204,$F7,$D$5:$D$204,"&lt;&gt;"&amp;CashLabel)/ConcDenomStr))</f>
        <v/>
      </c>
      <c r="AI7" s="14">
        <f>IF($B7="","",IF($D7=CashLabel,"",SUMIFS($AE$5:$AE$204,$D$5:$D$204,$D7,$D$5:$D$204,"&lt;&gt;"&amp;CashLabel)/ConcDenomStr))</f>
        <v/>
      </c>
      <c r="AJ7" s="15">
        <f>IF($B7="","",IF($D7=CashLabel,1,MIN(IF($AF7&gt;ThrSingle,ThrSingle/$AF7,1),IF($AG7&gt;ThrIssuer,ThrIssuer/$AG7,1),IF($AH7&gt;IFERROR(VLOOKUP($F7,CountryThr,2,FALSE),DefThrCountry),IFERROR(VLOOKUP($F7,CountryThr,2,FALSE),DefThrCountry)/$AH7,1),IF($AI7&gt;IFERROR(VLOOKUP($D7,LVTable,3,FALSE),DefThrAsset),IFERROR(VLOOKUP($D7,LVTable,3,FALSE),DefThrAsset)/$AI7,1))))</f>
        <v/>
      </c>
      <c r="AK7" s="33">
        <f>IF($B7="","",$AE7*$AJ7)</f>
        <v/>
      </c>
    </row>
    <row r="8">
      <c r="A8" s="16">
        <f>IF($B8="","",ROW()-4)</f>
        <v/>
      </c>
      <c r="B8" s="20" t="inlineStr">
        <is>
          <t>FCN on RBLX (Roblox)</t>
        </is>
      </c>
      <c r="C8" s="20" t="inlineStr"/>
      <c r="D8" s="20" t="inlineStr">
        <is>
          <t>Structured Product</t>
        </is>
      </c>
      <c r="E8" s="20" t="inlineStr">
        <is>
          <t>Issuing Bank A</t>
        </is>
      </c>
      <c r="F8" s="20" t="inlineStr">
        <is>
          <t>United States</t>
        </is>
      </c>
      <c r="G8" s="20" t="inlineStr">
        <is>
          <t>USD</t>
        </is>
      </c>
      <c r="H8" s="30" t="n">
        <v>1</v>
      </c>
      <c r="I8" s="30" t="n">
        <v>600000</v>
      </c>
      <c r="J8" s="30" t="n"/>
      <c r="K8" s="31">
        <f>IF($B8="","",IF(ISNUMBER($J8),$J8,$I8))</f>
        <v/>
      </c>
      <c r="L8" s="32">
        <f>IF($B8="","",IFERROR(VLOOKUP($G8,FXRates,4,FALSE),1))</f>
        <v/>
      </c>
      <c r="M8" s="33">
        <f>IF($B8="","",$H8*$K8*$L8)</f>
        <v/>
      </c>
      <c r="N8" s="21" t="n"/>
      <c r="O8" s="14">
        <f>IF($B8="","",IF($D8=CashLabel,IF(ISNUMBER($N8),$N8,1),MIN(IF(ISNUMBER($N8),$N8,IFERROR(VLOOKUP($D8,LVTable,2,FALSE),0)),LVCap)))</f>
        <v/>
      </c>
      <c r="P8" s="25">
        <f>IF($B8="","",$M8*$O8)</f>
        <v/>
      </c>
      <c r="Q8" s="16">
        <f>IF($B8="","",IFERROR(VLOOKUP($G8,FXRates,5,FALSE),$G8))</f>
        <v/>
      </c>
      <c r="R8" s="14">
        <f>IF($B8="","",IF($D8=CashLabel,"",SUMIFS($P$5:$P$204,$B$5:$B$204,$B8,$D$5:$D$204,"&lt;&gt;"&amp;CashLabel)/ConcDenom))</f>
        <v/>
      </c>
      <c r="S8" s="14">
        <f>IF($B8="","",IF($D8=CashLabel,"",SUMIFS($P$5:$P$204,$E$5:$E$204,$E8,$D$5:$D$204,"&lt;&gt;"&amp;CashLabel)/ConcDenom))</f>
        <v/>
      </c>
      <c r="T8" s="14">
        <f>IF($B8="","",IF($D8=CashLabel,"",SUMIFS($P$5:$P$204,$F$5:$F$204,$F8,$D$5:$D$204,"&lt;&gt;"&amp;CashLabel)/ConcDenom))</f>
        <v/>
      </c>
      <c r="U8" s="14">
        <f>IF($B8="","",IF($D8=CashLabel,"",SUMIFS($P$5:$P$204,$D$5:$D$204,$D8,$D$5:$D$204,"&lt;&gt;"&amp;CashLabel)/ConcDenom))</f>
        <v/>
      </c>
      <c r="V8" s="15">
        <f>IF($B8="","",IF($D8=CashLabel,1,IF($R8&gt;ThrSingle,ThrSingle/$R8,1)))</f>
        <v/>
      </c>
      <c r="W8" s="15">
        <f>IF($B8="","",IF($D8=CashLabel,1,IF($S8&gt;ThrIssuer,ThrIssuer/$S8,1)))</f>
        <v/>
      </c>
      <c r="X8" s="15">
        <f>IF($B8="","",IF($D8=CashLabel,1,IF($T8&gt;IFERROR(VLOOKUP($F8,CountryThr,2,FALSE),DefThrCountry),IFERROR(VLOOKUP($F8,CountryThr,2,FALSE),DefThrCountry)/$T8,1)))</f>
        <v/>
      </c>
      <c r="Y8" s="15">
        <f>IF($B8="","",IF($D8=CashLabel,1,IF($U8&gt;IFERROR(VLOOKUP($D8,LVTable,3,FALSE),DefThrAsset),IFERROR(VLOOKUP($D8,LVTable,3,FALSE),DefThrAsset)/$U8,1)))</f>
        <v/>
      </c>
      <c r="Z8" s="34">
        <f>IF($B8="","",IF($D8=CashLabel,1,MIN($V8:$Y8)))</f>
        <v/>
      </c>
      <c r="AA8" s="25">
        <f>IF($B8="","",$P8*$Z8)</f>
        <v/>
      </c>
      <c r="AB8" s="33">
        <f>IF($B8="","",$P8-$AA8)</f>
        <v/>
      </c>
      <c r="AC8" s="21" t="n">
        <v>-0.15</v>
      </c>
      <c r="AD8" s="33">
        <f>IF($B8="","",$M8*(1+IF(ISNUMBER($AC8),$AC8,0)))</f>
        <v/>
      </c>
      <c r="AE8" s="33">
        <f>IF($B8="","",$AD8*$O8)</f>
        <v/>
      </c>
      <c r="AF8" s="14">
        <f>IF($B8="","",IF($D8=CashLabel,"",SUMIFS($AE$5:$AE$204,$B$5:$B$204,$B8,$D$5:$D$204,"&lt;&gt;"&amp;CashLabel)/ConcDenomStr))</f>
        <v/>
      </c>
      <c r="AG8" s="14">
        <f>IF($B8="","",IF($D8=CashLabel,"",SUMIFS($AE$5:$AE$204,$E$5:$E$204,$E8,$D$5:$D$204,"&lt;&gt;"&amp;CashLabel)/ConcDenomStr))</f>
        <v/>
      </c>
      <c r="AH8" s="14">
        <f>IF($B8="","",IF($D8=CashLabel,"",SUMIFS($AE$5:$AE$204,$F$5:$F$204,$F8,$D$5:$D$204,"&lt;&gt;"&amp;CashLabel)/ConcDenomStr))</f>
        <v/>
      </c>
      <c r="AI8" s="14">
        <f>IF($B8="","",IF($D8=CashLabel,"",SUMIFS($AE$5:$AE$204,$D$5:$D$204,$D8,$D$5:$D$204,"&lt;&gt;"&amp;CashLabel)/ConcDenomStr))</f>
        <v/>
      </c>
      <c r="AJ8" s="15">
        <f>IF($B8="","",IF($D8=CashLabel,1,MIN(IF($AF8&gt;ThrSingle,ThrSingle/$AF8,1),IF($AG8&gt;ThrIssuer,ThrIssuer/$AG8,1),IF($AH8&gt;IFERROR(VLOOKUP($F8,CountryThr,2,FALSE),DefThrCountry),IFERROR(VLOOKUP($F8,CountryThr,2,FALSE),DefThrCountry)/$AH8,1),IF($AI8&gt;IFERROR(VLOOKUP($D8,LVTable,3,FALSE),DefThrAsset),IFERROR(VLOOKUP($D8,LVTable,3,FALSE),DefThrAsset)/$AI8,1))))</f>
        <v/>
      </c>
      <c r="AK8" s="33">
        <f>IF($B8="","",$AE8*$AJ8)</f>
        <v/>
      </c>
    </row>
    <row r="9">
      <c r="A9" s="16">
        <f>IF($B9="","",ROW()-4)</f>
        <v/>
      </c>
      <c r="B9" s="20" t="inlineStr">
        <is>
          <t>Time deposit USD</t>
        </is>
      </c>
      <c r="C9" s="20" t="inlineStr"/>
      <c r="D9" s="20" t="inlineStr">
        <is>
          <t>Cash</t>
        </is>
      </c>
      <c r="E9" s="20" t="inlineStr">
        <is>
          <t>Deposit Bank</t>
        </is>
      </c>
      <c r="F9" s="20" t="inlineStr">
        <is>
          <t>Hong Kong</t>
        </is>
      </c>
      <c r="G9" s="20" t="inlineStr">
        <is>
          <t>USD</t>
        </is>
      </c>
      <c r="H9" s="30" t="n">
        <v>1</v>
      </c>
      <c r="I9" s="30" t="n">
        <v>708197.4300000001</v>
      </c>
      <c r="J9" s="30" t="n"/>
      <c r="K9" s="31">
        <f>IF($B9="","",IF(ISNUMBER($J9),$J9,$I9))</f>
        <v/>
      </c>
      <c r="L9" s="32">
        <f>IF($B9="","",IFERROR(VLOOKUP($G9,FXRates,4,FALSE),1))</f>
        <v/>
      </c>
      <c r="M9" s="33">
        <f>IF($B9="","",$H9*$K9*$L9)</f>
        <v/>
      </c>
      <c r="N9" s="21" t="n"/>
      <c r="O9" s="14">
        <f>IF($B9="","",IF($D9=CashLabel,IF(ISNUMBER($N9),$N9,1),MIN(IF(ISNUMBER($N9),$N9,IFERROR(VLOOKUP($D9,LVTable,2,FALSE),0)),LVCap)))</f>
        <v/>
      </c>
      <c r="P9" s="25">
        <f>IF($B9="","",$M9*$O9)</f>
        <v/>
      </c>
      <c r="Q9" s="16">
        <f>IF($B9="","",IFERROR(VLOOKUP($G9,FXRates,5,FALSE),$G9))</f>
        <v/>
      </c>
      <c r="R9" s="14">
        <f>IF($B9="","",IF($D9=CashLabel,"",SUMIFS($P$5:$P$204,$B$5:$B$204,$B9,$D$5:$D$204,"&lt;&gt;"&amp;CashLabel)/ConcDenom))</f>
        <v/>
      </c>
      <c r="S9" s="14">
        <f>IF($B9="","",IF($D9=CashLabel,"",SUMIFS($P$5:$P$204,$E$5:$E$204,$E9,$D$5:$D$204,"&lt;&gt;"&amp;CashLabel)/ConcDenom))</f>
        <v/>
      </c>
      <c r="T9" s="14">
        <f>IF($B9="","",IF($D9=CashLabel,"",SUMIFS($P$5:$P$204,$F$5:$F$204,$F9,$D$5:$D$204,"&lt;&gt;"&amp;CashLabel)/ConcDenom))</f>
        <v/>
      </c>
      <c r="U9" s="14">
        <f>IF($B9="","",IF($D9=CashLabel,"",SUMIFS($P$5:$P$204,$D$5:$D$204,$D9,$D$5:$D$204,"&lt;&gt;"&amp;CashLabel)/ConcDenom))</f>
        <v/>
      </c>
      <c r="V9" s="15">
        <f>IF($B9="","",IF($D9=CashLabel,1,IF($R9&gt;ThrSingle,ThrSingle/$R9,1)))</f>
        <v/>
      </c>
      <c r="W9" s="15">
        <f>IF($B9="","",IF($D9=CashLabel,1,IF($S9&gt;ThrIssuer,ThrIssuer/$S9,1)))</f>
        <v/>
      </c>
      <c r="X9" s="15">
        <f>IF($B9="","",IF($D9=CashLabel,1,IF($T9&gt;IFERROR(VLOOKUP($F9,CountryThr,2,FALSE),DefThrCountry),IFERROR(VLOOKUP($F9,CountryThr,2,FALSE),DefThrCountry)/$T9,1)))</f>
        <v/>
      </c>
      <c r="Y9" s="15">
        <f>IF($B9="","",IF($D9=CashLabel,1,IF($U9&gt;IFERROR(VLOOKUP($D9,LVTable,3,FALSE),DefThrAsset),IFERROR(VLOOKUP($D9,LVTable,3,FALSE),DefThrAsset)/$U9,1)))</f>
        <v/>
      </c>
      <c r="Z9" s="34">
        <f>IF($B9="","",IF($D9=CashLabel,1,MIN($V9:$Y9)))</f>
        <v/>
      </c>
      <c r="AA9" s="25">
        <f>IF($B9="","",$P9*$Z9)</f>
        <v/>
      </c>
      <c r="AB9" s="33">
        <f>IF($B9="","",$P9-$AA9)</f>
        <v/>
      </c>
      <c r="AC9" s="21" t="n">
        <v>0</v>
      </c>
      <c r="AD9" s="33">
        <f>IF($B9="","",$M9*(1+IF(ISNUMBER($AC9),$AC9,0)))</f>
        <v/>
      </c>
      <c r="AE9" s="33">
        <f>IF($B9="","",$AD9*$O9)</f>
        <v/>
      </c>
      <c r="AF9" s="14">
        <f>IF($B9="","",IF($D9=CashLabel,"",SUMIFS($AE$5:$AE$204,$B$5:$B$204,$B9,$D$5:$D$204,"&lt;&gt;"&amp;CashLabel)/ConcDenomStr))</f>
        <v/>
      </c>
      <c r="AG9" s="14">
        <f>IF($B9="","",IF($D9=CashLabel,"",SUMIFS($AE$5:$AE$204,$E$5:$E$204,$E9,$D$5:$D$204,"&lt;&gt;"&amp;CashLabel)/ConcDenomStr))</f>
        <v/>
      </c>
      <c r="AH9" s="14">
        <f>IF($B9="","",IF($D9=CashLabel,"",SUMIFS($AE$5:$AE$204,$F$5:$F$204,$F9,$D$5:$D$204,"&lt;&gt;"&amp;CashLabel)/ConcDenomStr))</f>
        <v/>
      </c>
      <c r="AI9" s="14">
        <f>IF($B9="","",IF($D9=CashLabel,"",SUMIFS($AE$5:$AE$204,$D$5:$D$204,$D9,$D$5:$D$204,"&lt;&gt;"&amp;CashLabel)/ConcDenomStr))</f>
        <v/>
      </c>
      <c r="AJ9" s="15">
        <f>IF($B9="","",IF($D9=CashLabel,1,MIN(IF($AF9&gt;ThrSingle,ThrSingle/$AF9,1),IF($AG9&gt;ThrIssuer,ThrIssuer/$AG9,1),IF($AH9&gt;IFERROR(VLOOKUP($F9,CountryThr,2,FALSE),DefThrCountry),IFERROR(VLOOKUP($F9,CountryThr,2,FALSE),DefThrCountry)/$AH9,1),IF($AI9&gt;IFERROR(VLOOKUP($D9,LVTable,3,FALSE),DefThrAsset),IFERROR(VLOOKUP($D9,LVTable,3,FALSE),DefThrAsset)/$AI9,1))))</f>
        <v/>
      </c>
      <c r="AK9" s="33">
        <f>IF($B9="","",$AE9*$AJ9)</f>
        <v/>
      </c>
    </row>
    <row r="10">
      <c r="A10" s="16">
        <f>IF($B10="","",ROW()-4)</f>
        <v/>
      </c>
      <c r="B10" s="20" t="inlineStr">
        <is>
          <t>Time deposit HKD</t>
        </is>
      </c>
      <c r="C10" s="20" t="inlineStr"/>
      <c r="D10" s="20" t="inlineStr">
        <is>
          <t>Cash</t>
        </is>
      </c>
      <c r="E10" s="20" t="inlineStr">
        <is>
          <t>Deposit Bank</t>
        </is>
      </c>
      <c r="F10" s="20" t="inlineStr">
        <is>
          <t>Hong Kong</t>
        </is>
      </c>
      <c r="G10" s="20" t="inlineStr">
        <is>
          <t>HKD</t>
        </is>
      </c>
      <c r="H10" s="30" t="n">
        <v>1</v>
      </c>
      <c r="I10" s="30" t="n">
        <v>824747.59</v>
      </c>
      <c r="J10" s="30" t="n"/>
      <c r="K10" s="31">
        <f>IF($B10="","",IF(ISNUMBER($J10),$J10,$I10))</f>
        <v/>
      </c>
      <c r="L10" s="32">
        <f>IF($B10="","",IFERROR(VLOOKUP($G10,FXRates,4,FALSE),1))</f>
        <v/>
      </c>
      <c r="M10" s="33">
        <f>IF($B10="","",$H10*$K10*$L10)</f>
        <v/>
      </c>
      <c r="N10" s="21" t="n"/>
      <c r="O10" s="14">
        <f>IF($B10="","",IF($D10=CashLabel,IF(ISNUMBER($N10),$N10,1),MIN(IF(ISNUMBER($N10),$N10,IFERROR(VLOOKUP($D10,LVTable,2,FALSE),0)),LVCap)))</f>
        <v/>
      </c>
      <c r="P10" s="25">
        <f>IF($B10="","",$M10*$O10)</f>
        <v/>
      </c>
      <c r="Q10" s="16">
        <f>IF($B10="","",IFERROR(VLOOKUP($G10,FXRates,5,FALSE),$G10))</f>
        <v/>
      </c>
      <c r="R10" s="14">
        <f>IF($B10="","",IF($D10=CashLabel,"",SUMIFS($P$5:$P$204,$B$5:$B$204,$B10,$D$5:$D$204,"&lt;&gt;"&amp;CashLabel)/ConcDenom))</f>
        <v/>
      </c>
      <c r="S10" s="14">
        <f>IF($B10="","",IF($D10=CashLabel,"",SUMIFS($P$5:$P$204,$E$5:$E$204,$E10,$D$5:$D$204,"&lt;&gt;"&amp;CashLabel)/ConcDenom))</f>
        <v/>
      </c>
      <c r="T10" s="14">
        <f>IF($B10="","",IF($D10=CashLabel,"",SUMIFS($P$5:$P$204,$F$5:$F$204,$F10,$D$5:$D$204,"&lt;&gt;"&amp;CashLabel)/ConcDenom))</f>
        <v/>
      </c>
      <c r="U10" s="14">
        <f>IF($B10="","",IF($D10=CashLabel,"",SUMIFS($P$5:$P$204,$D$5:$D$204,$D10,$D$5:$D$204,"&lt;&gt;"&amp;CashLabel)/ConcDenom))</f>
        <v/>
      </c>
      <c r="V10" s="15">
        <f>IF($B10="","",IF($D10=CashLabel,1,IF($R10&gt;ThrSingle,ThrSingle/$R10,1)))</f>
        <v/>
      </c>
      <c r="W10" s="15">
        <f>IF($B10="","",IF($D10=CashLabel,1,IF($S10&gt;ThrIssuer,ThrIssuer/$S10,1)))</f>
        <v/>
      </c>
      <c r="X10" s="15">
        <f>IF($B10="","",IF($D10=CashLabel,1,IF($T10&gt;IFERROR(VLOOKUP($F10,CountryThr,2,FALSE),DefThrCountry),IFERROR(VLOOKUP($F10,CountryThr,2,FALSE),DefThrCountry)/$T10,1)))</f>
        <v/>
      </c>
      <c r="Y10" s="15">
        <f>IF($B10="","",IF($D10=CashLabel,1,IF($U10&gt;IFERROR(VLOOKUP($D10,LVTable,3,FALSE),DefThrAsset),IFERROR(VLOOKUP($D10,LVTable,3,FALSE),DefThrAsset)/$U10,1)))</f>
        <v/>
      </c>
      <c r="Z10" s="34">
        <f>IF($B10="","",IF($D10=CashLabel,1,MIN($V10:$Y10)))</f>
        <v/>
      </c>
      <c r="AA10" s="25">
        <f>IF($B10="","",$P10*$Z10)</f>
        <v/>
      </c>
      <c r="AB10" s="33">
        <f>IF($B10="","",$P10-$AA10)</f>
        <v/>
      </c>
      <c r="AC10" s="21" t="n">
        <v>0</v>
      </c>
      <c r="AD10" s="33">
        <f>IF($B10="","",$M10*(1+IF(ISNUMBER($AC10),$AC10,0)))</f>
        <v/>
      </c>
      <c r="AE10" s="33">
        <f>IF($B10="","",$AD10*$O10)</f>
        <v/>
      </c>
      <c r="AF10" s="14">
        <f>IF($B10="","",IF($D10=CashLabel,"",SUMIFS($AE$5:$AE$204,$B$5:$B$204,$B10,$D$5:$D$204,"&lt;&gt;"&amp;CashLabel)/ConcDenomStr))</f>
        <v/>
      </c>
      <c r="AG10" s="14">
        <f>IF($B10="","",IF($D10=CashLabel,"",SUMIFS($AE$5:$AE$204,$E$5:$E$204,$E10,$D$5:$D$204,"&lt;&gt;"&amp;CashLabel)/ConcDenomStr))</f>
        <v/>
      </c>
      <c r="AH10" s="14">
        <f>IF($B10="","",IF($D10=CashLabel,"",SUMIFS($AE$5:$AE$204,$F$5:$F$204,$F10,$D$5:$D$204,"&lt;&gt;"&amp;CashLabel)/ConcDenomStr))</f>
        <v/>
      </c>
      <c r="AI10" s="14">
        <f>IF($B10="","",IF($D10=CashLabel,"",SUMIFS($AE$5:$AE$204,$D$5:$D$204,$D10,$D$5:$D$204,"&lt;&gt;"&amp;CashLabel)/ConcDenomStr))</f>
        <v/>
      </c>
      <c r="AJ10" s="15">
        <f>IF($B10="","",IF($D10=CashLabel,1,MIN(IF($AF10&gt;ThrSingle,ThrSingle/$AF10,1),IF($AG10&gt;ThrIssuer,ThrIssuer/$AG10,1),IF($AH10&gt;IFERROR(VLOOKUP($F10,CountryThr,2,FALSE),DefThrCountry),IFERROR(VLOOKUP($F10,CountryThr,2,FALSE),DefThrCountry)/$AH10,1),IF($AI10&gt;IFERROR(VLOOKUP($D10,LVTable,3,FALSE),DefThrAsset),IFERROR(VLOOKUP($D10,LVTable,3,FALSE),DefThrAsset)/$AI10,1))))</f>
        <v/>
      </c>
      <c r="AK10" s="33">
        <f>IF($B10="","",$AE10*$AJ10)</f>
        <v/>
      </c>
    </row>
    <row r="11">
      <c r="A11" s="16">
        <f>IF($B11="","",ROW()-4)</f>
        <v/>
      </c>
      <c r="B11" s="20" t="inlineStr">
        <is>
          <t>Fenghe Asia Fund (USTE)</t>
        </is>
      </c>
      <c r="C11" s="20" t="inlineStr"/>
      <c r="D11" s="20" t="inlineStr">
        <is>
          <t>Fund / ETF</t>
        </is>
      </c>
      <c r="E11" s="20" t="inlineStr">
        <is>
          <t>Fenghe Asset Management</t>
        </is>
      </c>
      <c r="F11" s="20" t="inlineStr">
        <is>
          <t>Singapore</t>
        </is>
      </c>
      <c r="G11" s="20" t="inlineStr">
        <is>
          <t>USD</t>
        </is>
      </c>
      <c r="H11" s="30" t="n">
        <v>1</v>
      </c>
      <c r="I11" s="30" t="n">
        <v>1180.82</v>
      </c>
      <c r="J11" s="30" t="n"/>
      <c r="K11" s="31">
        <f>IF($B11="","",IF(ISNUMBER($J11),$J11,$I11))</f>
        <v/>
      </c>
      <c r="L11" s="32">
        <f>IF($B11="","",IFERROR(VLOOKUP($G11,FXRates,4,FALSE),1))</f>
        <v/>
      </c>
      <c r="M11" s="33">
        <f>IF($B11="","",$H11*$K11*$L11)</f>
        <v/>
      </c>
      <c r="N11" s="21" t="n"/>
      <c r="O11" s="14">
        <f>IF($B11="","",IF($D11=CashLabel,IF(ISNUMBER($N11),$N11,1),MIN(IF(ISNUMBER($N11),$N11,IFERROR(VLOOKUP($D11,LVTable,2,FALSE),0)),LVCap)))</f>
        <v/>
      </c>
      <c r="P11" s="25">
        <f>IF($B11="","",$M11*$O11)</f>
        <v/>
      </c>
      <c r="Q11" s="16">
        <f>IF($B11="","",IFERROR(VLOOKUP($G11,FXRates,5,FALSE),$G11))</f>
        <v/>
      </c>
      <c r="R11" s="14">
        <f>IF($B11="","",IF($D11=CashLabel,"",SUMIFS($P$5:$P$204,$B$5:$B$204,$B11,$D$5:$D$204,"&lt;&gt;"&amp;CashLabel)/ConcDenom))</f>
        <v/>
      </c>
      <c r="S11" s="14">
        <f>IF($B11="","",IF($D11=CashLabel,"",SUMIFS($P$5:$P$204,$E$5:$E$204,$E11,$D$5:$D$204,"&lt;&gt;"&amp;CashLabel)/ConcDenom))</f>
        <v/>
      </c>
      <c r="T11" s="14">
        <f>IF($B11="","",IF($D11=CashLabel,"",SUMIFS($P$5:$P$204,$F$5:$F$204,$F11,$D$5:$D$204,"&lt;&gt;"&amp;CashLabel)/ConcDenom))</f>
        <v/>
      </c>
      <c r="U11" s="14">
        <f>IF($B11="","",IF($D11=CashLabel,"",SUMIFS($P$5:$P$204,$D$5:$D$204,$D11,$D$5:$D$204,"&lt;&gt;"&amp;CashLabel)/ConcDenom))</f>
        <v/>
      </c>
      <c r="V11" s="15">
        <f>IF($B11="","",IF($D11=CashLabel,1,IF($R11&gt;ThrSingle,ThrSingle/$R11,1)))</f>
        <v/>
      </c>
      <c r="W11" s="15">
        <f>IF($B11="","",IF($D11=CashLabel,1,IF($S11&gt;ThrIssuer,ThrIssuer/$S11,1)))</f>
        <v/>
      </c>
      <c r="X11" s="15">
        <f>IF($B11="","",IF($D11=CashLabel,1,IF($T11&gt;IFERROR(VLOOKUP($F11,CountryThr,2,FALSE),DefThrCountry),IFERROR(VLOOKUP($F11,CountryThr,2,FALSE),DefThrCountry)/$T11,1)))</f>
        <v/>
      </c>
      <c r="Y11" s="15">
        <f>IF($B11="","",IF($D11=CashLabel,1,IF($U11&gt;IFERROR(VLOOKUP($D11,LVTable,3,FALSE),DefThrAsset),IFERROR(VLOOKUP($D11,LVTable,3,FALSE),DefThrAsset)/$U11,1)))</f>
        <v/>
      </c>
      <c r="Z11" s="34">
        <f>IF($B11="","",IF($D11=CashLabel,1,MIN($V11:$Y11)))</f>
        <v/>
      </c>
      <c r="AA11" s="25">
        <f>IF($B11="","",$P11*$Z11)</f>
        <v/>
      </c>
      <c r="AB11" s="33">
        <f>IF($B11="","",$P11-$AA11)</f>
        <v/>
      </c>
      <c r="AC11" s="21" t="n">
        <v>-0.1</v>
      </c>
      <c r="AD11" s="33">
        <f>IF($B11="","",$M11*(1+IF(ISNUMBER($AC11),$AC11,0)))</f>
        <v/>
      </c>
      <c r="AE11" s="33">
        <f>IF($B11="","",$AD11*$O11)</f>
        <v/>
      </c>
      <c r="AF11" s="14">
        <f>IF($B11="","",IF($D11=CashLabel,"",SUMIFS($AE$5:$AE$204,$B$5:$B$204,$B11,$D$5:$D$204,"&lt;&gt;"&amp;CashLabel)/ConcDenomStr))</f>
        <v/>
      </c>
      <c r="AG11" s="14">
        <f>IF($B11="","",IF($D11=CashLabel,"",SUMIFS($AE$5:$AE$204,$E$5:$E$204,$E11,$D$5:$D$204,"&lt;&gt;"&amp;CashLabel)/ConcDenomStr))</f>
        <v/>
      </c>
      <c r="AH11" s="14">
        <f>IF($B11="","",IF($D11=CashLabel,"",SUMIFS($AE$5:$AE$204,$F$5:$F$204,$F11,$D$5:$D$204,"&lt;&gt;"&amp;CashLabel)/ConcDenomStr))</f>
        <v/>
      </c>
      <c r="AI11" s="14">
        <f>IF($B11="","",IF($D11=CashLabel,"",SUMIFS($AE$5:$AE$204,$D$5:$D$204,$D11,$D$5:$D$204,"&lt;&gt;"&amp;CashLabel)/ConcDenomStr))</f>
        <v/>
      </c>
      <c r="AJ11" s="15">
        <f>IF($B11="","",IF($D11=CashLabel,1,MIN(IF($AF11&gt;ThrSingle,ThrSingle/$AF11,1),IF($AG11&gt;ThrIssuer,ThrIssuer/$AG11,1),IF($AH11&gt;IFERROR(VLOOKUP($F11,CountryThr,2,FALSE),DefThrCountry),IFERROR(VLOOKUP($F11,CountryThr,2,FALSE),DefThrCountry)/$AH11,1),IF($AI11&gt;IFERROR(VLOOKUP($D11,LVTable,3,FALSE),DefThrAsset),IFERROR(VLOOKUP($D11,LVTable,3,FALSE),DefThrAsset)/$AI11,1))))</f>
        <v/>
      </c>
      <c r="AK11" s="33">
        <f>IF($B11="","",$AE11*$AJ11)</f>
        <v/>
      </c>
    </row>
    <row r="12">
      <c r="A12" s="16">
        <f>IF($B12="","",ROW()-4)</f>
        <v/>
      </c>
      <c r="B12" s="20" t="n"/>
      <c r="C12" s="20" t="n"/>
      <c r="D12" s="20" t="n"/>
      <c r="E12" s="20" t="n"/>
      <c r="F12" s="20" t="n"/>
      <c r="G12" s="20" t="n"/>
      <c r="H12" s="30" t="n"/>
      <c r="I12" s="30" t="n"/>
      <c r="J12" s="30" t="n"/>
      <c r="K12" s="31">
        <f>IF($B12="","",IF(ISNUMBER($J12),$J12,$I12))</f>
        <v/>
      </c>
      <c r="L12" s="32">
        <f>IF($B12="","",IFERROR(VLOOKUP($G12,FXRates,4,FALSE),1))</f>
        <v/>
      </c>
      <c r="M12" s="33">
        <f>IF($B12="","",$H12*$K12*$L12)</f>
        <v/>
      </c>
      <c r="N12" s="21" t="n"/>
      <c r="O12" s="14">
        <f>IF($B12="","",IF($D12=CashLabel,IF(ISNUMBER($N12),$N12,1),MIN(IF(ISNUMBER($N12),$N12,IFERROR(VLOOKUP($D12,LVTable,2,FALSE),0)),LVCap)))</f>
        <v/>
      </c>
      <c r="P12" s="25">
        <f>IF($B12="","",$M12*$O12)</f>
        <v/>
      </c>
      <c r="Q12" s="16">
        <f>IF($B12="","",IFERROR(VLOOKUP($G12,FXRates,5,FALSE),$G12))</f>
        <v/>
      </c>
      <c r="R12" s="14">
        <f>IF($B12="","",IF($D12=CashLabel,"",SUMIFS($P$5:$P$204,$B$5:$B$204,$B12,$D$5:$D$204,"&lt;&gt;"&amp;CashLabel)/ConcDenom))</f>
        <v/>
      </c>
      <c r="S12" s="14">
        <f>IF($B12="","",IF($D12=CashLabel,"",SUMIFS($P$5:$P$204,$E$5:$E$204,$E12,$D$5:$D$204,"&lt;&gt;"&amp;CashLabel)/ConcDenom))</f>
        <v/>
      </c>
      <c r="T12" s="14">
        <f>IF($B12="","",IF($D12=CashLabel,"",SUMIFS($P$5:$P$204,$F$5:$F$204,$F12,$D$5:$D$204,"&lt;&gt;"&amp;CashLabel)/ConcDenom))</f>
        <v/>
      </c>
      <c r="U12" s="14">
        <f>IF($B12="","",IF($D12=CashLabel,"",SUMIFS($P$5:$P$204,$D$5:$D$204,$D12,$D$5:$D$204,"&lt;&gt;"&amp;CashLabel)/ConcDenom))</f>
        <v/>
      </c>
      <c r="V12" s="15">
        <f>IF($B12="","",IF($D12=CashLabel,1,IF($R12&gt;ThrSingle,ThrSingle/$R12,1)))</f>
        <v/>
      </c>
      <c r="W12" s="15">
        <f>IF($B12="","",IF($D12=CashLabel,1,IF($S12&gt;ThrIssuer,ThrIssuer/$S12,1)))</f>
        <v/>
      </c>
      <c r="X12" s="15">
        <f>IF($B12="","",IF($D12=CashLabel,1,IF($T12&gt;IFERROR(VLOOKUP($F12,CountryThr,2,FALSE),DefThrCountry),IFERROR(VLOOKUP($F12,CountryThr,2,FALSE),DefThrCountry)/$T12,1)))</f>
        <v/>
      </c>
      <c r="Y12" s="15">
        <f>IF($B12="","",IF($D12=CashLabel,1,IF($U12&gt;IFERROR(VLOOKUP($D12,LVTable,3,FALSE),DefThrAsset),IFERROR(VLOOKUP($D12,LVTable,3,FALSE),DefThrAsset)/$U12,1)))</f>
        <v/>
      </c>
      <c r="Z12" s="34">
        <f>IF($B12="","",IF($D12=CashLabel,1,MIN($V12:$Y12)))</f>
        <v/>
      </c>
      <c r="AA12" s="25">
        <f>IF($B12="","",$P12*$Z12)</f>
        <v/>
      </c>
      <c r="AB12" s="33">
        <f>IF($B12="","",$P12-$AA12)</f>
        <v/>
      </c>
      <c r="AC12" s="21" t="n"/>
      <c r="AD12" s="33">
        <f>IF($B12="","",$M12*(1+IF(ISNUMBER($AC12),$AC12,0)))</f>
        <v/>
      </c>
      <c r="AE12" s="33">
        <f>IF($B12="","",$AD12*$O12)</f>
        <v/>
      </c>
      <c r="AF12" s="14">
        <f>IF($B12="","",IF($D12=CashLabel,"",SUMIFS($AE$5:$AE$204,$B$5:$B$204,$B12,$D$5:$D$204,"&lt;&gt;"&amp;CashLabel)/ConcDenomStr))</f>
        <v/>
      </c>
      <c r="AG12" s="14">
        <f>IF($B12="","",IF($D12=CashLabel,"",SUMIFS($AE$5:$AE$204,$E$5:$E$204,$E12,$D$5:$D$204,"&lt;&gt;"&amp;CashLabel)/ConcDenomStr))</f>
        <v/>
      </c>
      <c r="AH12" s="14">
        <f>IF($B12="","",IF($D12=CashLabel,"",SUMIFS($AE$5:$AE$204,$F$5:$F$204,$F12,$D$5:$D$204,"&lt;&gt;"&amp;CashLabel)/ConcDenomStr))</f>
        <v/>
      </c>
      <c r="AI12" s="14">
        <f>IF($B12="","",IF($D12=CashLabel,"",SUMIFS($AE$5:$AE$204,$D$5:$D$204,$D12,$D$5:$D$204,"&lt;&gt;"&amp;CashLabel)/ConcDenomStr))</f>
        <v/>
      </c>
      <c r="AJ12" s="15">
        <f>IF($B12="","",IF($D12=CashLabel,1,MIN(IF($AF12&gt;ThrSingle,ThrSingle/$AF12,1),IF($AG12&gt;ThrIssuer,ThrIssuer/$AG12,1),IF($AH12&gt;IFERROR(VLOOKUP($F12,CountryThr,2,FALSE),DefThrCountry),IFERROR(VLOOKUP($F12,CountryThr,2,FALSE),DefThrCountry)/$AH12,1),IF($AI12&gt;IFERROR(VLOOKUP($D12,LVTable,3,FALSE),DefThrAsset),IFERROR(VLOOKUP($D12,LVTable,3,FALSE),DefThrAsset)/$AI12,1))))</f>
        <v/>
      </c>
      <c r="AK12" s="33">
        <f>IF($B12="","",$AE12*$AJ12)</f>
        <v/>
      </c>
    </row>
    <row r="13">
      <c r="A13" s="16">
        <f>IF($B13="","",ROW()-4)</f>
        <v/>
      </c>
      <c r="B13" s="20" t="n"/>
      <c r="C13" s="20" t="n"/>
      <c r="D13" s="20" t="n"/>
      <c r="E13" s="20" t="n"/>
      <c r="F13" s="20" t="n"/>
      <c r="G13" s="20" t="n"/>
      <c r="H13" s="30" t="n"/>
      <c r="I13" s="30" t="n"/>
      <c r="J13" s="30" t="n"/>
      <c r="K13" s="31">
        <f>IF($B13="","",IF(ISNUMBER($J13),$J13,$I13))</f>
        <v/>
      </c>
      <c r="L13" s="32">
        <f>IF($B13="","",IFERROR(VLOOKUP($G13,FXRates,4,FALSE),1))</f>
        <v/>
      </c>
      <c r="M13" s="33">
        <f>IF($B13="","",$H13*$K13*$L13)</f>
        <v/>
      </c>
      <c r="N13" s="21" t="n"/>
      <c r="O13" s="14">
        <f>IF($B13="","",IF($D13=CashLabel,IF(ISNUMBER($N13),$N13,1),MIN(IF(ISNUMBER($N13),$N13,IFERROR(VLOOKUP($D13,LVTable,2,FALSE),0)),LVCap)))</f>
        <v/>
      </c>
      <c r="P13" s="25">
        <f>IF($B13="","",$M13*$O13)</f>
        <v/>
      </c>
      <c r="Q13" s="16">
        <f>IF($B13="","",IFERROR(VLOOKUP($G13,FXRates,5,FALSE),$G13))</f>
        <v/>
      </c>
      <c r="R13" s="14">
        <f>IF($B13="","",IF($D13=CashLabel,"",SUMIFS($P$5:$P$204,$B$5:$B$204,$B13,$D$5:$D$204,"&lt;&gt;"&amp;CashLabel)/ConcDenom))</f>
        <v/>
      </c>
      <c r="S13" s="14">
        <f>IF($B13="","",IF($D13=CashLabel,"",SUMIFS($P$5:$P$204,$E$5:$E$204,$E13,$D$5:$D$204,"&lt;&gt;"&amp;CashLabel)/ConcDenom))</f>
        <v/>
      </c>
      <c r="T13" s="14">
        <f>IF($B13="","",IF($D13=CashLabel,"",SUMIFS($P$5:$P$204,$F$5:$F$204,$F13,$D$5:$D$204,"&lt;&gt;"&amp;CashLabel)/ConcDenom))</f>
        <v/>
      </c>
      <c r="U13" s="14">
        <f>IF($B13="","",IF($D13=CashLabel,"",SUMIFS($P$5:$P$204,$D$5:$D$204,$D13,$D$5:$D$204,"&lt;&gt;"&amp;CashLabel)/ConcDenom))</f>
        <v/>
      </c>
      <c r="V13" s="15">
        <f>IF($B13="","",IF($D13=CashLabel,1,IF($R13&gt;ThrSingle,ThrSingle/$R13,1)))</f>
        <v/>
      </c>
      <c r="W13" s="15">
        <f>IF($B13="","",IF($D13=CashLabel,1,IF($S13&gt;ThrIssuer,ThrIssuer/$S13,1)))</f>
        <v/>
      </c>
      <c r="X13" s="15">
        <f>IF($B13="","",IF($D13=CashLabel,1,IF($T13&gt;IFERROR(VLOOKUP($F13,CountryThr,2,FALSE),DefThrCountry),IFERROR(VLOOKUP($F13,CountryThr,2,FALSE),DefThrCountry)/$T13,1)))</f>
        <v/>
      </c>
      <c r="Y13" s="15">
        <f>IF($B13="","",IF($D13=CashLabel,1,IF($U13&gt;IFERROR(VLOOKUP($D13,LVTable,3,FALSE),DefThrAsset),IFERROR(VLOOKUP($D13,LVTable,3,FALSE),DefThrAsset)/$U13,1)))</f>
        <v/>
      </c>
      <c r="Z13" s="34">
        <f>IF($B13="","",IF($D13=CashLabel,1,MIN($V13:$Y13)))</f>
        <v/>
      </c>
      <c r="AA13" s="25">
        <f>IF($B13="","",$P13*$Z13)</f>
        <v/>
      </c>
      <c r="AB13" s="33">
        <f>IF($B13="","",$P13-$AA13)</f>
        <v/>
      </c>
      <c r="AC13" s="21" t="n"/>
      <c r="AD13" s="33">
        <f>IF($B13="","",$M13*(1+IF(ISNUMBER($AC13),$AC13,0)))</f>
        <v/>
      </c>
      <c r="AE13" s="33">
        <f>IF($B13="","",$AD13*$O13)</f>
        <v/>
      </c>
      <c r="AF13" s="14">
        <f>IF($B13="","",IF($D13=CashLabel,"",SUMIFS($AE$5:$AE$204,$B$5:$B$204,$B13,$D$5:$D$204,"&lt;&gt;"&amp;CashLabel)/ConcDenomStr))</f>
        <v/>
      </c>
      <c r="AG13" s="14">
        <f>IF($B13="","",IF($D13=CashLabel,"",SUMIFS($AE$5:$AE$204,$E$5:$E$204,$E13,$D$5:$D$204,"&lt;&gt;"&amp;CashLabel)/ConcDenomStr))</f>
        <v/>
      </c>
      <c r="AH13" s="14">
        <f>IF($B13="","",IF($D13=CashLabel,"",SUMIFS($AE$5:$AE$204,$F$5:$F$204,$F13,$D$5:$D$204,"&lt;&gt;"&amp;CashLabel)/ConcDenomStr))</f>
        <v/>
      </c>
      <c r="AI13" s="14">
        <f>IF($B13="","",IF($D13=CashLabel,"",SUMIFS($AE$5:$AE$204,$D$5:$D$204,$D13,$D$5:$D$204,"&lt;&gt;"&amp;CashLabel)/ConcDenomStr))</f>
        <v/>
      </c>
      <c r="AJ13" s="15">
        <f>IF($B13="","",IF($D13=CashLabel,1,MIN(IF($AF13&gt;ThrSingle,ThrSingle/$AF13,1),IF($AG13&gt;ThrIssuer,ThrIssuer/$AG13,1),IF($AH13&gt;IFERROR(VLOOKUP($F13,CountryThr,2,FALSE),DefThrCountry),IFERROR(VLOOKUP($F13,CountryThr,2,FALSE),DefThrCountry)/$AH13,1),IF($AI13&gt;IFERROR(VLOOKUP($D13,LVTable,3,FALSE),DefThrAsset),IFERROR(VLOOKUP($D13,LVTable,3,FALSE),DefThrAsset)/$AI13,1))))</f>
        <v/>
      </c>
      <c r="AK13" s="33">
        <f>IF($B13="","",$AE13*$AJ13)</f>
        <v/>
      </c>
    </row>
    <row r="14">
      <c r="A14" s="16">
        <f>IF($B14="","",ROW()-4)</f>
        <v/>
      </c>
      <c r="B14" s="20" t="n"/>
      <c r="C14" s="20" t="n"/>
      <c r="D14" s="20" t="n"/>
      <c r="E14" s="20" t="n"/>
      <c r="F14" s="20" t="n"/>
      <c r="G14" s="20" t="n"/>
      <c r="H14" s="30" t="n"/>
      <c r="I14" s="30" t="n"/>
      <c r="J14" s="30" t="n"/>
      <c r="K14" s="31">
        <f>IF($B14="","",IF(ISNUMBER($J14),$J14,$I14))</f>
        <v/>
      </c>
      <c r="L14" s="32">
        <f>IF($B14="","",IFERROR(VLOOKUP($G14,FXRates,4,FALSE),1))</f>
        <v/>
      </c>
      <c r="M14" s="33">
        <f>IF($B14="","",$H14*$K14*$L14)</f>
        <v/>
      </c>
      <c r="N14" s="21" t="n"/>
      <c r="O14" s="14">
        <f>IF($B14="","",IF($D14=CashLabel,IF(ISNUMBER($N14),$N14,1),MIN(IF(ISNUMBER($N14),$N14,IFERROR(VLOOKUP($D14,LVTable,2,FALSE),0)),LVCap)))</f>
        <v/>
      </c>
      <c r="P14" s="25">
        <f>IF($B14="","",$M14*$O14)</f>
        <v/>
      </c>
      <c r="Q14" s="16">
        <f>IF($B14="","",IFERROR(VLOOKUP($G14,FXRates,5,FALSE),$G14))</f>
        <v/>
      </c>
      <c r="R14" s="14">
        <f>IF($B14="","",IF($D14=CashLabel,"",SUMIFS($P$5:$P$204,$B$5:$B$204,$B14,$D$5:$D$204,"&lt;&gt;"&amp;CashLabel)/ConcDenom))</f>
        <v/>
      </c>
      <c r="S14" s="14">
        <f>IF($B14="","",IF($D14=CashLabel,"",SUMIFS($P$5:$P$204,$E$5:$E$204,$E14,$D$5:$D$204,"&lt;&gt;"&amp;CashLabel)/ConcDenom))</f>
        <v/>
      </c>
      <c r="T14" s="14">
        <f>IF($B14="","",IF($D14=CashLabel,"",SUMIFS($P$5:$P$204,$F$5:$F$204,$F14,$D$5:$D$204,"&lt;&gt;"&amp;CashLabel)/ConcDenom))</f>
        <v/>
      </c>
      <c r="U14" s="14">
        <f>IF($B14="","",IF($D14=CashLabel,"",SUMIFS($P$5:$P$204,$D$5:$D$204,$D14,$D$5:$D$204,"&lt;&gt;"&amp;CashLabel)/ConcDenom))</f>
        <v/>
      </c>
      <c r="V14" s="15">
        <f>IF($B14="","",IF($D14=CashLabel,1,IF($R14&gt;ThrSingle,ThrSingle/$R14,1)))</f>
        <v/>
      </c>
      <c r="W14" s="15">
        <f>IF($B14="","",IF($D14=CashLabel,1,IF($S14&gt;ThrIssuer,ThrIssuer/$S14,1)))</f>
        <v/>
      </c>
      <c r="X14" s="15">
        <f>IF($B14="","",IF($D14=CashLabel,1,IF($T14&gt;IFERROR(VLOOKUP($F14,CountryThr,2,FALSE),DefThrCountry),IFERROR(VLOOKUP($F14,CountryThr,2,FALSE),DefThrCountry)/$T14,1)))</f>
        <v/>
      </c>
      <c r="Y14" s="15">
        <f>IF($B14="","",IF($D14=CashLabel,1,IF($U14&gt;IFERROR(VLOOKUP($D14,LVTable,3,FALSE),DefThrAsset),IFERROR(VLOOKUP($D14,LVTable,3,FALSE),DefThrAsset)/$U14,1)))</f>
        <v/>
      </c>
      <c r="Z14" s="34">
        <f>IF($B14="","",IF($D14=CashLabel,1,MIN($V14:$Y14)))</f>
        <v/>
      </c>
      <c r="AA14" s="25">
        <f>IF($B14="","",$P14*$Z14)</f>
        <v/>
      </c>
      <c r="AB14" s="33">
        <f>IF($B14="","",$P14-$AA14)</f>
        <v/>
      </c>
      <c r="AC14" s="21" t="n"/>
      <c r="AD14" s="33">
        <f>IF($B14="","",$M14*(1+IF(ISNUMBER($AC14),$AC14,0)))</f>
        <v/>
      </c>
      <c r="AE14" s="33">
        <f>IF($B14="","",$AD14*$O14)</f>
        <v/>
      </c>
      <c r="AF14" s="14">
        <f>IF($B14="","",IF($D14=CashLabel,"",SUMIFS($AE$5:$AE$204,$B$5:$B$204,$B14,$D$5:$D$204,"&lt;&gt;"&amp;CashLabel)/ConcDenomStr))</f>
        <v/>
      </c>
      <c r="AG14" s="14">
        <f>IF($B14="","",IF($D14=CashLabel,"",SUMIFS($AE$5:$AE$204,$E$5:$E$204,$E14,$D$5:$D$204,"&lt;&gt;"&amp;CashLabel)/ConcDenomStr))</f>
        <v/>
      </c>
      <c r="AH14" s="14">
        <f>IF($B14="","",IF($D14=CashLabel,"",SUMIFS($AE$5:$AE$204,$F$5:$F$204,$F14,$D$5:$D$204,"&lt;&gt;"&amp;CashLabel)/ConcDenomStr))</f>
        <v/>
      </c>
      <c r="AI14" s="14">
        <f>IF($B14="","",IF($D14=CashLabel,"",SUMIFS($AE$5:$AE$204,$D$5:$D$204,$D14,$D$5:$D$204,"&lt;&gt;"&amp;CashLabel)/ConcDenomStr))</f>
        <v/>
      </c>
      <c r="AJ14" s="15">
        <f>IF($B14="","",IF($D14=CashLabel,1,MIN(IF($AF14&gt;ThrSingle,ThrSingle/$AF14,1),IF($AG14&gt;ThrIssuer,ThrIssuer/$AG14,1),IF($AH14&gt;IFERROR(VLOOKUP($F14,CountryThr,2,FALSE),DefThrCountry),IFERROR(VLOOKUP($F14,CountryThr,2,FALSE),DefThrCountry)/$AH14,1),IF($AI14&gt;IFERROR(VLOOKUP($D14,LVTable,3,FALSE),DefThrAsset),IFERROR(VLOOKUP($D14,LVTable,3,FALSE),DefThrAsset)/$AI14,1))))</f>
        <v/>
      </c>
      <c r="AK14" s="33">
        <f>IF($B14="","",$AE14*$AJ14)</f>
        <v/>
      </c>
    </row>
    <row r="15">
      <c r="A15" s="16">
        <f>IF($B15="","",ROW()-4)</f>
        <v/>
      </c>
      <c r="B15" s="20" t="n"/>
      <c r="C15" s="20" t="n"/>
      <c r="D15" s="20" t="n"/>
      <c r="E15" s="20" t="n"/>
      <c r="F15" s="20" t="n"/>
      <c r="G15" s="20" t="n"/>
      <c r="H15" s="30" t="n"/>
      <c r="I15" s="30" t="n"/>
      <c r="J15" s="30" t="n"/>
      <c r="K15" s="31">
        <f>IF($B15="","",IF(ISNUMBER($J15),$J15,$I15))</f>
        <v/>
      </c>
      <c r="L15" s="32">
        <f>IF($B15="","",IFERROR(VLOOKUP($G15,FXRates,4,FALSE),1))</f>
        <v/>
      </c>
      <c r="M15" s="33">
        <f>IF($B15="","",$H15*$K15*$L15)</f>
        <v/>
      </c>
      <c r="N15" s="21" t="n"/>
      <c r="O15" s="14">
        <f>IF($B15="","",IF($D15=CashLabel,IF(ISNUMBER($N15),$N15,1),MIN(IF(ISNUMBER($N15),$N15,IFERROR(VLOOKUP($D15,LVTable,2,FALSE),0)),LVCap)))</f>
        <v/>
      </c>
      <c r="P15" s="25">
        <f>IF($B15="","",$M15*$O15)</f>
        <v/>
      </c>
      <c r="Q15" s="16">
        <f>IF($B15="","",IFERROR(VLOOKUP($G15,FXRates,5,FALSE),$G15))</f>
        <v/>
      </c>
      <c r="R15" s="14">
        <f>IF($B15="","",IF($D15=CashLabel,"",SUMIFS($P$5:$P$204,$B$5:$B$204,$B15,$D$5:$D$204,"&lt;&gt;"&amp;CashLabel)/ConcDenom))</f>
        <v/>
      </c>
      <c r="S15" s="14">
        <f>IF($B15="","",IF($D15=CashLabel,"",SUMIFS($P$5:$P$204,$E$5:$E$204,$E15,$D$5:$D$204,"&lt;&gt;"&amp;CashLabel)/ConcDenom))</f>
        <v/>
      </c>
      <c r="T15" s="14">
        <f>IF($B15="","",IF($D15=CashLabel,"",SUMIFS($P$5:$P$204,$F$5:$F$204,$F15,$D$5:$D$204,"&lt;&gt;"&amp;CashLabel)/ConcDenom))</f>
        <v/>
      </c>
      <c r="U15" s="14">
        <f>IF($B15="","",IF($D15=CashLabel,"",SUMIFS($P$5:$P$204,$D$5:$D$204,$D15,$D$5:$D$204,"&lt;&gt;"&amp;CashLabel)/ConcDenom))</f>
        <v/>
      </c>
      <c r="V15" s="15">
        <f>IF($B15="","",IF($D15=CashLabel,1,IF($R15&gt;ThrSingle,ThrSingle/$R15,1)))</f>
        <v/>
      </c>
      <c r="W15" s="15">
        <f>IF($B15="","",IF($D15=CashLabel,1,IF($S15&gt;ThrIssuer,ThrIssuer/$S15,1)))</f>
        <v/>
      </c>
      <c r="X15" s="15">
        <f>IF($B15="","",IF($D15=CashLabel,1,IF($T15&gt;IFERROR(VLOOKUP($F15,CountryThr,2,FALSE),DefThrCountry),IFERROR(VLOOKUP($F15,CountryThr,2,FALSE),DefThrCountry)/$T15,1)))</f>
        <v/>
      </c>
      <c r="Y15" s="15">
        <f>IF($B15="","",IF($D15=CashLabel,1,IF($U15&gt;IFERROR(VLOOKUP($D15,LVTable,3,FALSE),DefThrAsset),IFERROR(VLOOKUP($D15,LVTable,3,FALSE),DefThrAsset)/$U15,1)))</f>
        <v/>
      </c>
      <c r="Z15" s="34">
        <f>IF($B15="","",IF($D15=CashLabel,1,MIN($V15:$Y15)))</f>
        <v/>
      </c>
      <c r="AA15" s="25">
        <f>IF($B15="","",$P15*$Z15)</f>
        <v/>
      </c>
      <c r="AB15" s="33">
        <f>IF($B15="","",$P15-$AA15)</f>
        <v/>
      </c>
      <c r="AC15" s="21" t="n"/>
      <c r="AD15" s="33">
        <f>IF($B15="","",$M15*(1+IF(ISNUMBER($AC15),$AC15,0)))</f>
        <v/>
      </c>
      <c r="AE15" s="33">
        <f>IF($B15="","",$AD15*$O15)</f>
        <v/>
      </c>
      <c r="AF15" s="14">
        <f>IF($B15="","",IF($D15=CashLabel,"",SUMIFS($AE$5:$AE$204,$B$5:$B$204,$B15,$D$5:$D$204,"&lt;&gt;"&amp;CashLabel)/ConcDenomStr))</f>
        <v/>
      </c>
      <c r="AG15" s="14">
        <f>IF($B15="","",IF($D15=CashLabel,"",SUMIFS($AE$5:$AE$204,$E$5:$E$204,$E15,$D$5:$D$204,"&lt;&gt;"&amp;CashLabel)/ConcDenomStr))</f>
        <v/>
      </c>
      <c r="AH15" s="14">
        <f>IF($B15="","",IF($D15=CashLabel,"",SUMIFS($AE$5:$AE$204,$F$5:$F$204,$F15,$D$5:$D$204,"&lt;&gt;"&amp;CashLabel)/ConcDenomStr))</f>
        <v/>
      </c>
      <c r="AI15" s="14">
        <f>IF($B15="","",IF($D15=CashLabel,"",SUMIFS($AE$5:$AE$204,$D$5:$D$204,$D15,$D$5:$D$204,"&lt;&gt;"&amp;CashLabel)/ConcDenomStr))</f>
        <v/>
      </c>
      <c r="AJ15" s="15">
        <f>IF($B15="","",IF($D15=CashLabel,1,MIN(IF($AF15&gt;ThrSingle,ThrSingle/$AF15,1),IF($AG15&gt;ThrIssuer,ThrIssuer/$AG15,1),IF($AH15&gt;IFERROR(VLOOKUP($F15,CountryThr,2,FALSE),DefThrCountry),IFERROR(VLOOKUP($F15,CountryThr,2,FALSE),DefThrCountry)/$AH15,1),IF($AI15&gt;IFERROR(VLOOKUP($D15,LVTable,3,FALSE),DefThrAsset),IFERROR(VLOOKUP($D15,LVTable,3,FALSE),DefThrAsset)/$AI15,1))))</f>
        <v/>
      </c>
      <c r="AK15" s="33">
        <f>IF($B15="","",$AE15*$AJ15)</f>
        <v/>
      </c>
    </row>
    <row r="16">
      <c r="A16" s="16">
        <f>IF($B16="","",ROW()-4)</f>
        <v/>
      </c>
      <c r="B16" s="20" t="n"/>
      <c r="C16" s="20" t="n"/>
      <c r="D16" s="20" t="n"/>
      <c r="E16" s="20" t="n"/>
      <c r="F16" s="20" t="n"/>
      <c r="G16" s="20" t="n"/>
      <c r="H16" s="30" t="n"/>
      <c r="I16" s="30" t="n"/>
      <c r="J16" s="30" t="n"/>
      <c r="K16" s="31">
        <f>IF($B16="","",IF(ISNUMBER($J16),$J16,$I16))</f>
        <v/>
      </c>
      <c r="L16" s="32">
        <f>IF($B16="","",IFERROR(VLOOKUP($G16,FXRates,4,FALSE),1))</f>
        <v/>
      </c>
      <c r="M16" s="33">
        <f>IF($B16="","",$H16*$K16*$L16)</f>
        <v/>
      </c>
      <c r="N16" s="21" t="n"/>
      <c r="O16" s="14">
        <f>IF($B16="","",IF($D16=CashLabel,IF(ISNUMBER($N16),$N16,1),MIN(IF(ISNUMBER($N16),$N16,IFERROR(VLOOKUP($D16,LVTable,2,FALSE),0)),LVCap)))</f>
        <v/>
      </c>
      <c r="P16" s="25">
        <f>IF($B16="","",$M16*$O16)</f>
        <v/>
      </c>
      <c r="Q16" s="16">
        <f>IF($B16="","",IFERROR(VLOOKUP($G16,FXRates,5,FALSE),$G16))</f>
        <v/>
      </c>
      <c r="R16" s="14">
        <f>IF($B16="","",IF($D16=CashLabel,"",SUMIFS($P$5:$P$204,$B$5:$B$204,$B16,$D$5:$D$204,"&lt;&gt;"&amp;CashLabel)/ConcDenom))</f>
        <v/>
      </c>
      <c r="S16" s="14">
        <f>IF($B16="","",IF($D16=CashLabel,"",SUMIFS($P$5:$P$204,$E$5:$E$204,$E16,$D$5:$D$204,"&lt;&gt;"&amp;CashLabel)/ConcDenom))</f>
        <v/>
      </c>
      <c r="T16" s="14">
        <f>IF($B16="","",IF($D16=CashLabel,"",SUMIFS($P$5:$P$204,$F$5:$F$204,$F16,$D$5:$D$204,"&lt;&gt;"&amp;CashLabel)/ConcDenom))</f>
        <v/>
      </c>
      <c r="U16" s="14">
        <f>IF($B16="","",IF($D16=CashLabel,"",SUMIFS($P$5:$P$204,$D$5:$D$204,$D16,$D$5:$D$204,"&lt;&gt;"&amp;CashLabel)/ConcDenom))</f>
        <v/>
      </c>
      <c r="V16" s="15">
        <f>IF($B16="","",IF($D16=CashLabel,1,IF($R16&gt;ThrSingle,ThrSingle/$R16,1)))</f>
        <v/>
      </c>
      <c r="W16" s="15">
        <f>IF($B16="","",IF($D16=CashLabel,1,IF($S16&gt;ThrIssuer,ThrIssuer/$S16,1)))</f>
        <v/>
      </c>
      <c r="X16" s="15">
        <f>IF($B16="","",IF($D16=CashLabel,1,IF($T16&gt;IFERROR(VLOOKUP($F16,CountryThr,2,FALSE),DefThrCountry),IFERROR(VLOOKUP($F16,CountryThr,2,FALSE),DefThrCountry)/$T16,1)))</f>
        <v/>
      </c>
      <c r="Y16" s="15">
        <f>IF($B16="","",IF($D16=CashLabel,1,IF($U16&gt;IFERROR(VLOOKUP($D16,LVTable,3,FALSE),DefThrAsset),IFERROR(VLOOKUP($D16,LVTable,3,FALSE),DefThrAsset)/$U16,1)))</f>
        <v/>
      </c>
      <c r="Z16" s="34">
        <f>IF($B16="","",IF($D16=CashLabel,1,MIN($V16:$Y16)))</f>
        <v/>
      </c>
      <c r="AA16" s="25">
        <f>IF($B16="","",$P16*$Z16)</f>
        <v/>
      </c>
      <c r="AB16" s="33">
        <f>IF($B16="","",$P16-$AA16)</f>
        <v/>
      </c>
      <c r="AC16" s="21" t="n"/>
      <c r="AD16" s="33">
        <f>IF($B16="","",$M16*(1+IF(ISNUMBER($AC16),$AC16,0)))</f>
        <v/>
      </c>
      <c r="AE16" s="33">
        <f>IF($B16="","",$AD16*$O16)</f>
        <v/>
      </c>
      <c r="AF16" s="14">
        <f>IF($B16="","",IF($D16=CashLabel,"",SUMIFS($AE$5:$AE$204,$B$5:$B$204,$B16,$D$5:$D$204,"&lt;&gt;"&amp;CashLabel)/ConcDenomStr))</f>
        <v/>
      </c>
      <c r="AG16" s="14">
        <f>IF($B16="","",IF($D16=CashLabel,"",SUMIFS($AE$5:$AE$204,$E$5:$E$204,$E16,$D$5:$D$204,"&lt;&gt;"&amp;CashLabel)/ConcDenomStr))</f>
        <v/>
      </c>
      <c r="AH16" s="14">
        <f>IF($B16="","",IF($D16=CashLabel,"",SUMIFS($AE$5:$AE$204,$F$5:$F$204,$F16,$D$5:$D$204,"&lt;&gt;"&amp;CashLabel)/ConcDenomStr))</f>
        <v/>
      </c>
      <c r="AI16" s="14">
        <f>IF($B16="","",IF($D16=CashLabel,"",SUMIFS($AE$5:$AE$204,$D$5:$D$204,$D16,$D$5:$D$204,"&lt;&gt;"&amp;CashLabel)/ConcDenomStr))</f>
        <v/>
      </c>
      <c r="AJ16" s="15">
        <f>IF($B16="","",IF($D16=CashLabel,1,MIN(IF($AF16&gt;ThrSingle,ThrSingle/$AF16,1),IF($AG16&gt;ThrIssuer,ThrIssuer/$AG16,1),IF($AH16&gt;IFERROR(VLOOKUP($F16,CountryThr,2,FALSE),DefThrCountry),IFERROR(VLOOKUP($F16,CountryThr,2,FALSE),DefThrCountry)/$AH16,1),IF($AI16&gt;IFERROR(VLOOKUP($D16,LVTable,3,FALSE),DefThrAsset),IFERROR(VLOOKUP($D16,LVTable,3,FALSE),DefThrAsset)/$AI16,1))))</f>
        <v/>
      </c>
      <c r="AK16" s="33">
        <f>IF($B16="","",$AE16*$AJ16)</f>
        <v/>
      </c>
    </row>
    <row r="17">
      <c r="A17" s="16">
        <f>IF($B17="","",ROW()-4)</f>
        <v/>
      </c>
      <c r="B17" s="20" t="n"/>
      <c r="C17" s="20" t="n"/>
      <c r="D17" s="20" t="n"/>
      <c r="E17" s="20" t="n"/>
      <c r="F17" s="20" t="n"/>
      <c r="G17" s="20" t="n"/>
      <c r="H17" s="30" t="n"/>
      <c r="I17" s="30" t="n"/>
      <c r="J17" s="30" t="n"/>
      <c r="K17" s="31">
        <f>IF($B17="","",IF(ISNUMBER($J17),$J17,$I17))</f>
        <v/>
      </c>
      <c r="L17" s="32">
        <f>IF($B17="","",IFERROR(VLOOKUP($G17,FXRates,4,FALSE),1))</f>
        <v/>
      </c>
      <c r="M17" s="33">
        <f>IF($B17="","",$H17*$K17*$L17)</f>
        <v/>
      </c>
      <c r="N17" s="21" t="n"/>
      <c r="O17" s="14">
        <f>IF($B17="","",IF($D17=CashLabel,IF(ISNUMBER($N17),$N17,1),MIN(IF(ISNUMBER($N17),$N17,IFERROR(VLOOKUP($D17,LVTable,2,FALSE),0)),LVCap)))</f>
        <v/>
      </c>
      <c r="P17" s="25">
        <f>IF($B17="","",$M17*$O17)</f>
        <v/>
      </c>
      <c r="Q17" s="16">
        <f>IF($B17="","",IFERROR(VLOOKUP($G17,FXRates,5,FALSE),$G17))</f>
        <v/>
      </c>
      <c r="R17" s="14">
        <f>IF($B17="","",IF($D17=CashLabel,"",SUMIFS($P$5:$P$204,$B$5:$B$204,$B17,$D$5:$D$204,"&lt;&gt;"&amp;CashLabel)/ConcDenom))</f>
        <v/>
      </c>
      <c r="S17" s="14">
        <f>IF($B17="","",IF($D17=CashLabel,"",SUMIFS($P$5:$P$204,$E$5:$E$204,$E17,$D$5:$D$204,"&lt;&gt;"&amp;CashLabel)/ConcDenom))</f>
        <v/>
      </c>
      <c r="T17" s="14">
        <f>IF($B17="","",IF($D17=CashLabel,"",SUMIFS($P$5:$P$204,$F$5:$F$204,$F17,$D$5:$D$204,"&lt;&gt;"&amp;CashLabel)/ConcDenom))</f>
        <v/>
      </c>
      <c r="U17" s="14">
        <f>IF($B17="","",IF($D17=CashLabel,"",SUMIFS($P$5:$P$204,$D$5:$D$204,$D17,$D$5:$D$204,"&lt;&gt;"&amp;CashLabel)/ConcDenom))</f>
        <v/>
      </c>
      <c r="V17" s="15">
        <f>IF($B17="","",IF($D17=CashLabel,1,IF($R17&gt;ThrSingle,ThrSingle/$R17,1)))</f>
        <v/>
      </c>
      <c r="W17" s="15">
        <f>IF($B17="","",IF($D17=CashLabel,1,IF($S17&gt;ThrIssuer,ThrIssuer/$S17,1)))</f>
        <v/>
      </c>
      <c r="X17" s="15">
        <f>IF($B17="","",IF($D17=CashLabel,1,IF($T17&gt;IFERROR(VLOOKUP($F17,CountryThr,2,FALSE),DefThrCountry),IFERROR(VLOOKUP($F17,CountryThr,2,FALSE),DefThrCountry)/$T17,1)))</f>
        <v/>
      </c>
      <c r="Y17" s="15">
        <f>IF($B17="","",IF($D17=CashLabel,1,IF($U17&gt;IFERROR(VLOOKUP($D17,LVTable,3,FALSE),DefThrAsset),IFERROR(VLOOKUP($D17,LVTable,3,FALSE),DefThrAsset)/$U17,1)))</f>
        <v/>
      </c>
      <c r="Z17" s="34">
        <f>IF($B17="","",IF($D17=CashLabel,1,MIN($V17:$Y17)))</f>
        <v/>
      </c>
      <c r="AA17" s="25">
        <f>IF($B17="","",$P17*$Z17)</f>
        <v/>
      </c>
      <c r="AB17" s="33">
        <f>IF($B17="","",$P17-$AA17)</f>
        <v/>
      </c>
      <c r="AC17" s="21" t="n"/>
      <c r="AD17" s="33">
        <f>IF($B17="","",$M17*(1+IF(ISNUMBER($AC17),$AC17,0)))</f>
        <v/>
      </c>
      <c r="AE17" s="33">
        <f>IF($B17="","",$AD17*$O17)</f>
        <v/>
      </c>
      <c r="AF17" s="14">
        <f>IF($B17="","",IF($D17=CashLabel,"",SUMIFS($AE$5:$AE$204,$B$5:$B$204,$B17,$D$5:$D$204,"&lt;&gt;"&amp;CashLabel)/ConcDenomStr))</f>
        <v/>
      </c>
      <c r="AG17" s="14">
        <f>IF($B17="","",IF($D17=CashLabel,"",SUMIFS($AE$5:$AE$204,$E$5:$E$204,$E17,$D$5:$D$204,"&lt;&gt;"&amp;CashLabel)/ConcDenomStr))</f>
        <v/>
      </c>
      <c r="AH17" s="14">
        <f>IF($B17="","",IF($D17=CashLabel,"",SUMIFS($AE$5:$AE$204,$F$5:$F$204,$F17,$D$5:$D$204,"&lt;&gt;"&amp;CashLabel)/ConcDenomStr))</f>
        <v/>
      </c>
      <c r="AI17" s="14">
        <f>IF($B17="","",IF($D17=CashLabel,"",SUMIFS($AE$5:$AE$204,$D$5:$D$204,$D17,$D$5:$D$204,"&lt;&gt;"&amp;CashLabel)/ConcDenomStr))</f>
        <v/>
      </c>
      <c r="AJ17" s="15">
        <f>IF($B17="","",IF($D17=CashLabel,1,MIN(IF($AF17&gt;ThrSingle,ThrSingle/$AF17,1),IF($AG17&gt;ThrIssuer,ThrIssuer/$AG17,1),IF($AH17&gt;IFERROR(VLOOKUP($F17,CountryThr,2,FALSE),DefThrCountry),IFERROR(VLOOKUP($F17,CountryThr,2,FALSE),DefThrCountry)/$AH17,1),IF($AI17&gt;IFERROR(VLOOKUP($D17,LVTable,3,FALSE),DefThrAsset),IFERROR(VLOOKUP($D17,LVTable,3,FALSE),DefThrAsset)/$AI17,1))))</f>
        <v/>
      </c>
      <c r="AK17" s="33">
        <f>IF($B17="","",$AE17*$AJ17)</f>
        <v/>
      </c>
    </row>
    <row r="18">
      <c r="A18" s="16">
        <f>IF($B18="","",ROW()-4)</f>
        <v/>
      </c>
      <c r="B18" s="20" t="n"/>
      <c r="C18" s="20" t="n"/>
      <c r="D18" s="20" t="n"/>
      <c r="E18" s="20" t="n"/>
      <c r="F18" s="20" t="n"/>
      <c r="G18" s="20" t="n"/>
      <c r="H18" s="30" t="n"/>
      <c r="I18" s="30" t="n"/>
      <c r="J18" s="30" t="n"/>
      <c r="K18" s="31">
        <f>IF($B18="","",IF(ISNUMBER($J18),$J18,$I18))</f>
        <v/>
      </c>
      <c r="L18" s="32">
        <f>IF($B18="","",IFERROR(VLOOKUP($G18,FXRates,4,FALSE),1))</f>
        <v/>
      </c>
      <c r="M18" s="33">
        <f>IF($B18="","",$H18*$K18*$L18)</f>
        <v/>
      </c>
      <c r="N18" s="21" t="n"/>
      <c r="O18" s="14">
        <f>IF($B18="","",IF($D18=CashLabel,IF(ISNUMBER($N18),$N18,1),MIN(IF(ISNUMBER($N18),$N18,IFERROR(VLOOKUP($D18,LVTable,2,FALSE),0)),LVCap)))</f>
        <v/>
      </c>
      <c r="P18" s="25">
        <f>IF($B18="","",$M18*$O18)</f>
        <v/>
      </c>
      <c r="Q18" s="16">
        <f>IF($B18="","",IFERROR(VLOOKUP($G18,FXRates,5,FALSE),$G18))</f>
        <v/>
      </c>
      <c r="R18" s="14">
        <f>IF($B18="","",IF($D18=CashLabel,"",SUMIFS($P$5:$P$204,$B$5:$B$204,$B18,$D$5:$D$204,"&lt;&gt;"&amp;CashLabel)/ConcDenom))</f>
        <v/>
      </c>
      <c r="S18" s="14">
        <f>IF($B18="","",IF($D18=CashLabel,"",SUMIFS($P$5:$P$204,$E$5:$E$204,$E18,$D$5:$D$204,"&lt;&gt;"&amp;CashLabel)/ConcDenom))</f>
        <v/>
      </c>
      <c r="T18" s="14">
        <f>IF($B18="","",IF($D18=CashLabel,"",SUMIFS($P$5:$P$204,$F$5:$F$204,$F18,$D$5:$D$204,"&lt;&gt;"&amp;CashLabel)/ConcDenom))</f>
        <v/>
      </c>
      <c r="U18" s="14">
        <f>IF($B18="","",IF($D18=CashLabel,"",SUMIFS($P$5:$P$204,$D$5:$D$204,$D18,$D$5:$D$204,"&lt;&gt;"&amp;CashLabel)/ConcDenom))</f>
        <v/>
      </c>
      <c r="V18" s="15">
        <f>IF($B18="","",IF($D18=CashLabel,1,IF($R18&gt;ThrSingle,ThrSingle/$R18,1)))</f>
        <v/>
      </c>
      <c r="W18" s="15">
        <f>IF($B18="","",IF($D18=CashLabel,1,IF($S18&gt;ThrIssuer,ThrIssuer/$S18,1)))</f>
        <v/>
      </c>
      <c r="X18" s="15">
        <f>IF($B18="","",IF($D18=CashLabel,1,IF($T18&gt;IFERROR(VLOOKUP($F18,CountryThr,2,FALSE),DefThrCountry),IFERROR(VLOOKUP($F18,CountryThr,2,FALSE),DefThrCountry)/$T18,1)))</f>
        <v/>
      </c>
      <c r="Y18" s="15">
        <f>IF($B18="","",IF($D18=CashLabel,1,IF($U18&gt;IFERROR(VLOOKUP($D18,LVTable,3,FALSE),DefThrAsset),IFERROR(VLOOKUP($D18,LVTable,3,FALSE),DefThrAsset)/$U18,1)))</f>
        <v/>
      </c>
      <c r="Z18" s="34">
        <f>IF($B18="","",IF($D18=CashLabel,1,MIN($V18:$Y18)))</f>
        <v/>
      </c>
      <c r="AA18" s="25">
        <f>IF($B18="","",$P18*$Z18)</f>
        <v/>
      </c>
      <c r="AB18" s="33">
        <f>IF($B18="","",$P18-$AA18)</f>
        <v/>
      </c>
      <c r="AC18" s="21" t="n"/>
      <c r="AD18" s="33">
        <f>IF($B18="","",$M18*(1+IF(ISNUMBER($AC18),$AC18,0)))</f>
        <v/>
      </c>
      <c r="AE18" s="33">
        <f>IF($B18="","",$AD18*$O18)</f>
        <v/>
      </c>
      <c r="AF18" s="14">
        <f>IF($B18="","",IF($D18=CashLabel,"",SUMIFS($AE$5:$AE$204,$B$5:$B$204,$B18,$D$5:$D$204,"&lt;&gt;"&amp;CashLabel)/ConcDenomStr))</f>
        <v/>
      </c>
      <c r="AG18" s="14">
        <f>IF($B18="","",IF($D18=CashLabel,"",SUMIFS($AE$5:$AE$204,$E$5:$E$204,$E18,$D$5:$D$204,"&lt;&gt;"&amp;CashLabel)/ConcDenomStr))</f>
        <v/>
      </c>
      <c r="AH18" s="14">
        <f>IF($B18="","",IF($D18=CashLabel,"",SUMIFS($AE$5:$AE$204,$F$5:$F$204,$F18,$D$5:$D$204,"&lt;&gt;"&amp;CashLabel)/ConcDenomStr))</f>
        <v/>
      </c>
      <c r="AI18" s="14">
        <f>IF($B18="","",IF($D18=CashLabel,"",SUMIFS($AE$5:$AE$204,$D$5:$D$204,$D18,$D$5:$D$204,"&lt;&gt;"&amp;CashLabel)/ConcDenomStr))</f>
        <v/>
      </c>
      <c r="AJ18" s="15">
        <f>IF($B18="","",IF($D18=CashLabel,1,MIN(IF($AF18&gt;ThrSingle,ThrSingle/$AF18,1),IF($AG18&gt;ThrIssuer,ThrIssuer/$AG18,1),IF($AH18&gt;IFERROR(VLOOKUP($F18,CountryThr,2,FALSE),DefThrCountry),IFERROR(VLOOKUP($F18,CountryThr,2,FALSE),DefThrCountry)/$AH18,1),IF($AI18&gt;IFERROR(VLOOKUP($D18,LVTable,3,FALSE),DefThrAsset),IFERROR(VLOOKUP($D18,LVTable,3,FALSE),DefThrAsset)/$AI18,1))))</f>
        <v/>
      </c>
      <c r="AK18" s="33">
        <f>IF($B18="","",$AE18*$AJ18)</f>
        <v/>
      </c>
    </row>
    <row r="19">
      <c r="A19" s="16">
        <f>IF($B19="","",ROW()-4)</f>
        <v/>
      </c>
      <c r="B19" s="20" t="n"/>
      <c r="C19" s="20" t="n"/>
      <c r="D19" s="20" t="n"/>
      <c r="E19" s="20" t="n"/>
      <c r="F19" s="20" t="n"/>
      <c r="G19" s="20" t="n"/>
      <c r="H19" s="30" t="n"/>
      <c r="I19" s="30" t="n"/>
      <c r="J19" s="30" t="n"/>
      <c r="K19" s="31">
        <f>IF($B19="","",IF(ISNUMBER($J19),$J19,$I19))</f>
        <v/>
      </c>
      <c r="L19" s="32">
        <f>IF($B19="","",IFERROR(VLOOKUP($G19,FXRates,4,FALSE),1))</f>
        <v/>
      </c>
      <c r="M19" s="33">
        <f>IF($B19="","",$H19*$K19*$L19)</f>
        <v/>
      </c>
      <c r="N19" s="21" t="n"/>
      <c r="O19" s="14">
        <f>IF($B19="","",IF($D19=CashLabel,IF(ISNUMBER($N19),$N19,1),MIN(IF(ISNUMBER($N19),$N19,IFERROR(VLOOKUP($D19,LVTable,2,FALSE),0)),LVCap)))</f>
        <v/>
      </c>
      <c r="P19" s="25">
        <f>IF($B19="","",$M19*$O19)</f>
        <v/>
      </c>
      <c r="Q19" s="16">
        <f>IF($B19="","",IFERROR(VLOOKUP($G19,FXRates,5,FALSE),$G19))</f>
        <v/>
      </c>
      <c r="R19" s="14">
        <f>IF($B19="","",IF($D19=CashLabel,"",SUMIFS($P$5:$P$204,$B$5:$B$204,$B19,$D$5:$D$204,"&lt;&gt;"&amp;CashLabel)/ConcDenom))</f>
        <v/>
      </c>
      <c r="S19" s="14">
        <f>IF($B19="","",IF($D19=CashLabel,"",SUMIFS($P$5:$P$204,$E$5:$E$204,$E19,$D$5:$D$204,"&lt;&gt;"&amp;CashLabel)/ConcDenom))</f>
        <v/>
      </c>
      <c r="T19" s="14">
        <f>IF($B19="","",IF($D19=CashLabel,"",SUMIFS($P$5:$P$204,$F$5:$F$204,$F19,$D$5:$D$204,"&lt;&gt;"&amp;CashLabel)/ConcDenom))</f>
        <v/>
      </c>
      <c r="U19" s="14">
        <f>IF($B19="","",IF($D19=CashLabel,"",SUMIFS($P$5:$P$204,$D$5:$D$204,$D19,$D$5:$D$204,"&lt;&gt;"&amp;CashLabel)/ConcDenom))</f>
        <v/>
      </c>
      <c r="V19" s="15">
        <f>IF($B19="","",IF($D19=CashLabel,1,IF($R19&gt;ThrSingle,ThrSingle/$R19,1)))</f>
        <v/>
      </c>
      <c r="W19" s="15">
        <f>IF($B19="","",IF($D19=CashLabel,1,IF($S19&gt;ThrIssuer,ThrIssuer/$S19,1)))</f>
        <v/>
      </c>
      <c r="X19" s="15">
        <f>IF($B19="","",IF($D19=CashLabel,1,IF($T19&gt;IFERROR(VLOOKUP($F19,CountryThr,2,FALSE),DefThrCountry),IFERROR(VLOOKUP($F19,CountryThr,2,FALSE),DefThrCountry)/$T19,1)))</f>
        <v/>
      </c>
      <c r="Y19" s="15">
        <f>IF($B19="","",IF($D19=CashLabel,1,IF($U19&gt;IFERROR(VLOOKUP($D19,LVTable,3,FALSE),DefThrAsset),IFERROR(VLOOKUP($D19,LVTable,3,FALSE),DefThrAsset)/$U19,1)))</f>
        <v/>
      </c>
      <c r="Z19" s="34">
        <f>IF($B19="","",IF($D19=CashLabel,1,MIN($V19:$Y19)))</f>
        <v/>
      </c>
      <c r="AA19" s="25">
        <f>IF($B19="","",$P19*$Z19)</f>
        <v/>
      </c>
      <c r="AB19" s="33">
        <f>IF($B19="","",$P19-$AA19)</f>
        <v/>
      </c>
      <c r="AC19" s="21" t="n"/>
      <c r="AD19" s="33">
        <f>IF($B19="","",$M19*(1+IF(ISNUMBER($AC19),$AC19,0)))</f>
        <v/>
      </c>
      <c r="AE19" s="33">
        <f>IF($B19="","",$AD19*$O19)</f>
        <v/>
      </c>
      <c r="AF19" s="14">
        <f>IF($B19="","",IF($D19=CashLabel,"",SUMIFS($AE$5:$AE$204,$B$5:$B$204,$B19,$D$5:$D$204,"&lt;&gt;"&amp;CashLabel)/ConcDenomStr))</f>
        <v/>
      </c>
      <c r="AG19" s="14">
        <f>IF($B19="","",IF($D19=CashLabel,"",SUMIFS($AE$5:$AE$204,$E$5:$E$204,$E19,$D$5:$D$204,"&lt;&gt;"&amp;CashLabel)/ConcDenomStr))</f>
        <v/>
      </c>
      <c r="AH19" s="14">
        <f>IF($B19="","",IF($D19=CashLabel,"",SUMIFS($AE$5:$AE$204,$F$5:$F$204,$F19,$D$5:$D$204,"&lt;&gt;"&amp;CashLabel)/ConcDenomStr))</f>
        <v/>
      </c>
      <c r="AI19" s="14">
        <f>IF($B19="","",IF($D19=CashLabel,"",SUMIFS($AE$5:$AE$204,$D$5:$D$204,$D19,$D$5:$D$204,"&lt;&gt;"&amp;CashLabel)/ConcDenomStr))</f>
        <v/>
      </c>
      <c r="AJ19" s="15">
        <f>IF($B19="","",IF($D19=CashLabel,1,MIN(IF($AF19&gt;ThrSingle,ThrSingle/$AF19,1),IF($AG19&gt;ThrIssuer,ThrIssuer/$AG19,1),IF($AH19&gt;IFERROR(VLOOKUP($F19,CountryThr,2,FALSE),DefThrCountry),IFERROR(VLOOKUP($F19,CountryThr,2,FALSE),DefThrCountry)/$AH19,1),IF($AI19&gt;IFERROR(VLOOKUP($D19,LVTable,3,FALSE),DefThrAsset),IFERROR(VLOOKUP($D19,LVTable,3,FALSE),DefThrAsset)/$AI19,1))))</f>
        <v/>
      </c>
      <c r="AK19" s="33">
        <f>IF($B19="","",$AE19*$AJ19)</f>
        <v/>
      </c>
    </row>
    <row r="20">
      <c r="A20" s="16">
        <f>IF($B20="","",ROW()-4)</f>
        <v/>
      </c>
      <c r="B20" s="20" t="n"/>
      <c r="C20" s="20" t="n"/>
      <c r="D20" s="20" t="n"/>
      <c r="E20" s="20" t="n"/>
      <c r="F20" s="20" t="n"/>
      <c r="G20" s="20" t="n"/>
      <c r="H20" s="30" t="n"/>
      <c r="I20" s="30" t="n"/>
      <c r="J20" s="30" t="n"/>
      <c r="K20" s="31">
        <f>IF($B20="","",IF(ISNUMBER($J20),$J20,$I20))</f>
        <v/>
      </c>
      <c r="L20" s="32">
        <f>IF($B20="","",IFERROR(VLOOKUP($G20,FXRates,4,FALSE),1))</f>
        <v/>
      </c>
      <c r="M20" s="33">
        <f>IF($B20="","",$H20*$K20*$L20)</f>
        <v/>
      </c>
      <c r="N20" s="21" t="n"/>
      <c r="O20" s="14">
        <f>IF($B20="","",IF($D20=CashLabel,IF(ISNUMBER($N20),$N20,1),MIN(IF(ISNUMBER($N20),$N20,IFERROR(VLOOKUP($D20,LVTable,2,FALSE),0)),LVCap)))</f>
        <v/>
      </c>
      <c r="P20" s="25">
        <f>IF($B20="","",$M20*$O20)</f>
        <v/>
      </c>
      <c r="Q20" s="16">
        <f>IF($B20="","",IFERROR(VLOOKUP($G20,FXRates,5,FALSE),$G20))</f>
        <v/>
      </c>
      <c r="R20" s="14">
        <f>IF($B20="","",IF($D20=CashLabel,"",SUMIFS($P$5:$P$204,$B$5:$B$204,$B20,$D$5:$D$204,"&lt;&gt;"&amp;CashLabel)/ConcDenom))</f>
        <v/>
      </c>
      <c r="S20" s="14">
        <f>IF($B20="","",IF($D20=CashLabel,"",SUMIFS($P$5:$P$204,$E$5:$E$204,$E20,$D$5:$D$204,"&lt;&gt;"&amp;CashLabel)/ConcDenom))</f>
        <v/>
      </c>
      <c r="T20" s="14">
        <f>IF($B20="","",IF($D20=CashLabel,"",SUMIFS($P$5:$P$204,$F$5:$F$204,$F20,$D$5:$D$204,"&lt;&gt;"&amp;CashLabel)/ConcDenom))</f>
        <v/>
      </c>
      <c r="U20" s="14">
        <f>IF($B20="","",IF($D20=CashLabel,"",SUMIFS($P$5:$P$204,$D$5:$D$204,$D20,$D$5:$D$204,"&lt;&gt;"&amp;CashLabel)/ConcDenom))</f>
        <v/>
      </c>
      <c r="V20" s="15">
        <f>IF($B20="","",IF($D20=CashLabel,1,IF($R20&gt;ThrSingle,ThrSingle/$R20,1)))</f>
        <v/>
      </c>
      <c r="W20" s="15">
        <f>IF($B20="","",IF($D20=CashLabel,1,IF($S20&gt;ThrIssuer,ThrIssuer/$S20,1)))</f>
        <v/>
      </c>
      <c r="X20" s="15">
        <f>IF($B20="","",IF($D20=CashLabel,1,IF($T20&gt;IFERROR(VLOOKUP($F20,CountryThr,2,FALSE),DefThrCountry),IFERROR(VLOOKUP($F20,CountryThr,2,FALSE),DefThrCountry)/$T20,1)))</f>
        <v/>
      </c>
      <c r="Y20" s="15">
        <f>IF($B20="","",IF($D20=CashLabel,1,IF($U20&gt;IFERROR(VLOOKUP($D20,LVTable,3,FALSE),DefThrAsset),IFERROR(VLOOKUP($D20,LVTable,3,FALSE),DefThrAsset)/$U20,1)))</f>
        <v/>
      </c>
      <c r="Z20" s="34">
        <f>IF($B20="","",IF($D20=CashLabel,1,MIN($V20:$Y20)))</f>
        <v/>
      </c>
      <c r="AA20" s="25">
        <f>IF($B20="","",$P20*$Z20)</f>
        <v/>
      </c>
      <c r="AB20" s="33">
        <f>IF($B20="","",$P20-$AA20)</f>
        <v/>
      </c>
      <c r="AC20" s="21" t="n"/>
      <c r="AD20" s="33">
        <f>IF($B20="","",$M20*(1+IF(ISNUMBER($AC20),$AC20,0)))</f>
        <v/>
      </c>
      <c r="AE20" s="33">
        <f>IF($B20="","",$AD20*$O20)</f>
        <v/>
      </c>
      <c r="AF20" s="14">
        <f>IF($B20="","",IF($D20=CashLabel,"",SUMIFS($AE$5:$AE$204,$B$5:$B$204,$B20,$D$5:$D$204,"&lt;&gt;"&amp;CashLabel)/ConcDenomStr))</f>
        <v/>
      </c>
      <c r="AG20" s="14">
        <f>IF($B20="","",IF($D20=CashLabel,"",SUMIFS($AE$5:$AE$204,$E$5:$E$204,$E20,$D$5:$D$204,"&lt;&gt;"&amp;CashLabel)/ConcDenomStr))</f>
        <v/>
      </c>
      <c r="AH20" s="14">
        <f>IF($B20="","",IF($D20=CashLabel,"",SUMIFS($AE$5:$AE$204,$F$5:$F$204,$F20,$D$5:$D$204,"&lt;&gt;"&amp;CashLabel)/ConcDenomStr))</f>
        <v/>
      </c>
      <c r="AI20" s="14">
        <f>IF($B20="","",IF($D20=CashLabel,"",SUMIFS($AE$5:$AE$204,$D$5:$D$204,$D20,$D$5:$D$204,"&lt;&gt;"&amp;CashLabel)/ConcDenomStr))</f>
        <v/>
      </c>
      <c r="AJ20" s="15">
        <f>IF($B20="","",IF($D20=CashLabel,1,MIN(IF($AF20&gt;ThrSingle,ThrSingle/$AF20,1),IF($AG20&gt;ThrIssuer,ThrIssuer/$AG20,1),IF($AH20&gt;IFERROR(VLOOKUP($F20,CountryThr,2,FALSE),DefThrCountry),IFERROR(VLOOKUP($F20,CountryThr,2,FALSE),DefThrCountry)/$AH20,1),IF($AI20&gt;IFERROR(VLOOKUP($D20,LVTable,3,FALSE),DefThrAsset),IFERROR(VLOOKUP($D20,LVTable,3,FALSE),DefThrAsset)/$AI20,1))))</f>
        <v/>
      </c>
      <c r="AK20" s="33">
        <f>IF($B20="","",$AE20*$AJ20)</f>
        <v/>
      </c>
    </row>
    <row r="21">
      <c r="A21" s="16">
        <f>IF($B21="","",ROW()-4)</f>
        <v/>
      </c>
      <c r="B21" s="20" t="n"/>
      <c r="C21" s="20" t="n"/>
      <c r="D21" s="20" t="n"/>
      <c r="E21" s="20" t="n"/>
      <c r="F21" s="20" t="n"/>
      <c r="G21" s="20" t="n"/>
      <c r="H21" s="30" t="n"/>
      <c r="I21" s="30" t="n"/>
      <c r="J21" s="30" t="n"/>
      <c r="K21" s="31">
        <f>IF($B21="","",IF(ISNUMBER($J21),$J21,$I21))</f>
        <v/>
      </c>
      <c r="L21" s="32">
        <f>IF($B21="","",IFERROR(VLOOKUP($G21,FXRates,4,FALSE),1))</f>
        <v/>
      </c>
      <c r="M21" s="33">
        <f>IF($B21="","",$H21*$K21*$L21)</f>
        <v/>
      </c>
      <c r="N21" s="21" t="n"/>
      <c r="O21" s="14">
        <f>IF($B21="","",IF($D21=CashLabel,IF(ISNUMBER($N21),$N21,1),MIN(IF(ISNUMBER($N21),$N21,IFERROR(VLOOKUP($D21,LVTable,2,FALSE),0)),LVCap)))</f>
        <v/>
      </c>
      <c r="P21" s="25">
        <f>IF($B21="","",$M21*$O21)</f>
        <v/>
      </c>
      <c r="Q21" s="16">
        <f>IF($B21="","",IFERROR(VLOOKUP($G21,FXRates,5,FALSE),$G21))</f>
        <v/>
      </c>
      <c r="R21" s="14">
        <f>IF($B21="","",IF($D21=CashLabel,"",SUMIFS($P$5:$P$204,$B$5:$B$204,$B21,$D$5:$D$204,"&lt;&gt;"&amp;CashLabel)/ConcDenom))</f>
        <v/>
      </c>
      <c r="S21" s="14">
        <f>IF($B21="","",IF($D21=CashLabel,"",SUMIFS($P$5:$P$204,$E$5:$E$204,$E21,$D$5:$D$204,"&lt;&gt;"&amp;CashLabel)/ConcDenom))</f>
        <v/>
      </c>
      <c r="T21" s="14">
        <f>IF($B21="","",IF($D21=CashLabel,"",SUMIFS($P$5:$P$204,$F$5:$F$204,$F21,$D$5:$D$204,"&lt;&gt;"&amp;CashLabel)/ConcDenom))</f>
        <v/>
      </c>
      <c r="U21" s="14">
        <f>IF($B21="","",IF($D21=CashLabel,"",SUMIFS($P$5:$P$204,$D$5:$D$204,$D21,$D$5:$D$204,"&lt;&gt;"&amp;CashLabel)/ConcDenom))</f>
        <v/>
      </c>
      <c r="V21" s="15">
        <f>IF($B21="","",IF($D21=CashLabel,1,IF($R21&gt;ThrSingle,ThrSingle/$R21,1)))</f>
        <v/>
      </c>
      <c r="W21" s="15">
        <f>IF($B21="","",IF($D21=CashLabel,1,IF($S21&gt;ThrIssuer,ThrIssuer/$S21,1)))</f>
        <v/>
      </c>
      <c r="X21" s="15">
        <f>IF($B21="","",IF($D21=CashLabel,1,IF($T21&gt;IFERROR(VLOOKUP($F21,CountryThr,2,FALSE),DefThrCountry),IFERROR(VLOOKUP($F21,CountryThr,2,FALSE),DefThrCountry)/$T21,1)))</f>
        <v/>
      </c>
      <c r="Y21" s="15">
        <f>IF($B21="","",IF($D21=CashLabel,1,IF($U21&gt;IFERROR(VLOOKUP($D21,LVTable,3,FALSE),DefThrAsset),IFERROR(VLOOKUP($D21,LVTable,3,FALSE),DefThrAsset)/$U21,1)))</f>
        <v/>
      </c>
      <c r="Z21" s="34">
        <f>IF($B21="","",IF($D21=CashLabel,1,MIN($V21:$Y21)))</f>
        <v/>
      </c>
      <c r="AA21" s="25">
        <f>IF($B21="","",$P21*$Z21)</f>
        <v/>
      </c>
      <c r="AB21" s="33">
        <f>IF($B21="","",$P21-$AA21)</f>
        <v/>
      </c>
      <c r="AC21" s="21" t="n"/>
      <c r="AD21" s="33">
        <f>IF($B21="","",$M21*(1+IF(ISNUMBER($AC21),$AC21,0)))</f>
        <v/>
      </c>
      <c r="AE21" s="33">
        <f>IF($B21="","",$AD21*$O21)</f>
        <v/>
      </c>
      <c r="AF21" s="14">
        <f>IF($B21="","",IF($D21=CashLabel,"",SUMIFS($AE$5:$AE$204,$B$5:$B$204,$B21,$D$5:$D$204,"&lt;&gt;"&amp;CashLabel)/ConcDenomStr))</f>
        <v/>
      </c>
      <c r="AG21" s="14">
        <f>IF($B21="","",IF($D21=CashLabel,"",SUMIFS($AE$5:$AE$204,$E$5:$E$204,$E21,$D$5:$D$204,"&lt;&gt;"&amp;CashLabel)/ConcDenomStr))</f>
        <v/>
      </c>
      <c r="AH21" s="14">
        <f>IF($B21="","",IF($D21=CashLabel,"",SUMIFS($AE$5:$AE$204,$F$5:$F$204,$F21,$D$5:$D$204,"&lt;&gt;"&amp;CashLabel)/ConcDenomStr))</f>
        <v/>
      </c>
      <c r="AI21" s="14">
        <f>IF($B21="","",IF($D21=CashLabel,"",SUMIFS($AE$5:$AE$204,$D$5:$D$204,$D21,$D$5:$D$204,"&lt;&gt;"&amp;CashLabel)/ConcDenomStr))</f>
        <v/>
      </c>
      <c r="AJ21" s="15">
        <f>IF($B21="","",IF($D21=CashLabel,1,MIN(IF($AF21&gt;ThrSingle,ThrSingle/$AF21,1),IF($AG21&gt;ThrIssuer,ThrIssuer/$AG21,1),IF($AH21&gt;IFERROR(VLOOKUP($F21,CountryThr,2,FALSE),DefThrCountry),IFERROR(VLOOKUP($F21,CountryThr,2,FALSE),DefThrCountry)/$AH21,1),IF($AI21&gt;IFERROR(VLOOKUP($D21,LVTable,3,FALSE),DefThrAsset),IFERROR(VLOOKUP($D21,LVTable,3,FALSE),DefThrAsset)/$AI21,1))))</f>
        <v/>
      </c>
      <c r="AK21" s="33">
        <f>IF($B21="","",$AE21*$AJ21)</f>
        <v/>
      </c>
    </row>
    <row r="22">
      <c r="A22" s="16">
        <f>IF($B22="","",ROW()-4)</f>
        <v/>
      </c>
      <c r="B22" s="20" t="n"/>
      <c r="C22" s="20" t="n"/>
      <c r="D22" s="20" t="n"/>
      <c r="E22" s="20" t="n"/>
      <c r="F22" s="20" t="n"/>
      <c r="G22" s="20" t="n"/>
      <c r="H22" s="30" t="n"/>
      <c r="I22" s="30" t="n"/>
      <c r="J22" s="30" t="n"/>
      <c r="K22" s="31">
        <f>IF($B22="","",IF(ISNUMBER($J22),$J22,$I22))</f>
        <v/>
      </c>
      <c r="L22" s="32">
        <f>IF($B22="","",IFERROR(VLOOKUP($G22,FXRates,4,FALSE),1))</f>
        <v/>
      </c>
      <c r="M22" s="33">
        <f>IF($B22="","",$H22*$K22*$L22)</f>
        <v/>
      </c>
      <c r="N22" s="21" t="n"/>
      <c r="O22" s="14">
        <f>IF($B22="","",IF($D22=CashLabel,IF(ISNUMBER($N22),$N22,1),MIN(IF(ISNUMBER($N22),$N22,IFERROR(VLOOKUP($D22,LVTable,2,FALSE),0)),LVCap)))</f>
        <v/>
      </c>
      <c r="P22" s="25">
        <f>IF($B22="","",$M22*$O22)</f>
        <v/>
      </c>
      <c r="Q22" s="16">
        <f>IF($B22="","",IFERROR(VLOOKUP($G22,FXRates,5,FALSE),$G22))</f>
        <v/>
      </c>
      <c r="R22" s="14">
        <f>IF($B22="","",IF($D22=CashLabel,"",SUMIFS($P$5:$P$204,$B$5:$B$204,$B22,$D$5:$D$204,"&lt;&gt;"&amp;CashLabel)/ConcDenom))</f>
        <v/>
      </c>
      <c r="S22" s="14">
        <f>IF($B22="","",IF($D22=CashLabel,"",SUMIFS($P$5:$P$204,$E$5:$E$204,$E22,$D$5:$D$204,"&lt;&gt;"&amp;CashLabel)/ConcDenom))</f>
        <v/>
      </c>
      <c r="T22" s="14">
        <f>IF($B22="","",IF($D22=CashLabel,"",SUMIFS($P$5:$P$204,$F$5:$F$204,$F22,$D$5:$D$204,"&lt;&gt;"&amp;CashLabel)/ConcDenom))</f>
        <v/>
      </c>
      <c r="U22" s="14">
        <f>IF($B22="","",IF($D22=CashLabel,"",SUMIFS($P$5:$P$204,$D$5:$D$204,$D22,$D$5:$D$204,"&lt;&gt;"&amp;CashLabel)/ConcDenom))</f>
        <v/>
      </c>
      <c r="V22" s="15">
        <f>IF($B22="","",IF($D22=CashLabel,1,IF($R22&gt;ThrSingle,ThrSingle/$R22,1)))</f>
        <v/>
      </c>
      <c r="W22" s="15">
        <f>IF($B22="","",IF($D22=CashLabel,1,IF($S22&gt;ThrIssuer,ThrIssuer/$S22,1)))</f>
        <v/>
      </c>
      <c r="X22" s="15">
        <f>IF($B22="","",IF($D22=CashLabel,1,IF($T22&gt;IFERROR(VLOOKUP($F22,CountryThr,2,FALSE),DefThrCountry),IFERROR(VLOOKUP($F22,CountryThr,2,FALSE),DefThrCountry)/$T22,1)))</f>
        <v/>
      </c>
      <c r="Y22" s="15">
        <f>IF($B22="","",IF($D22=CashLabel,1,IF($U22&gt;IFERROR(VLOOKUP($D22,LVTable,3,FALSE),DefThrAsset),IFERROR(VLOOKUP($D22,LVTable,3,FALSE),DefThrAsset)/$U22,1)))</f>
        <v/>
      </c>
      <c r="Z22" s="34">
        <f>IF($B22="","",IF($D22=CashLabel,1,MIN($V22:$Y22)))</f>
        <v/>
      </c>
      <c r="AA22" s="25">
        <f>IF($B22="","",$P22*$Z22)</f>
        <v/>
      </c>
      <c r="AB22" s="33">
        <f>IF($B22="","",$P22-$AA22)</f>
        <v/>
      </c>
      <c r="AC22" s="21" t="n"/>
      <c r="AD22" s="33">
        <f>IF($B22="","",$M22*(1+IF(ISNUMBER($AC22),$AC22,0)))</f>
        <v/>
      </c>
      <c r="AE22" s="33">
        <f>IF($B22="","",$AD22*$O22)</f>
        <v/>
      </c>
      <c r="AF22" s="14">
        <f>IF($B22="","",IF($D22=CashLabel,"",SUMIFS($AE$5:$AE$204,$B$5:$B$204,$B22,$D$5:$D$204,"&lt;&gt;"&amp;CashLabel)/ConcDenomStr))</f>
        <v/>
      </c>
      <c r="AG22" s="14">
        <f>IF($B22="","",IF($D22=CashLabel,"",SUMIFS($AE$5:$AE$204,$E$5:$E$204,$E22,$D$5:$D$204,"&lt;&gt;"&amp;CashLabel)/ConcDenomStr))</f>
        <v/>
      </c>
      <c r="AH22" s="14">
        <f>IF($B22="","",IF($D22=CashLabel,"",SUMIFS($AE$5:$AE$204,$F$5:$F$204,$F22,$D$5:$D$204,"&lt;&gt;"&amp;CashLabel)/ConcDenomStr))</f>
        <v/>
      </c>
      <c r="AI22" s="14">
        <f>IF($B22="","",IF($D22=CashLabel,"",SUMIFS($AE$5:$AE$204,$D$5:$D$204,$D22,$D$5:$D$204,"&lt;&gt;"&amp;CashLabel)/ConcDenomStr))</f>
        <v/>
      </c>
      <c r="AJ22" s="15">
        <f>IF($B22="","",IF($D22=CashLabel,1,MIN(IF($AF22&gt;ThrSingle,ThrSingle/$AF22,1),IF($AG22&gt;ThrIssuer,ThrIssuer/$AG22,1),IF($AH22&gt;IFERROR(VLOOKUP($F22,CountryThr,2,FALSE),DefThrCountry),IFERROR(VLOOKUP($F22,CountryThr,2,FALSE),DefThrCountry)/$AH22,1),IF($AI22&gt;IFERROR(VLOOKUP($D22,LVTable,3,FALSE),DefThrAsset),IFERROR(VLOOKUP($D22,LVTable,3,FALSE),DefThrAsset)/$AI22,1))))</f>
        <v/>
      </c>
      <c r="AK22" s="33">
        <f>IF($B22="","",$AE22*$AJ22)</f>
        <v/>
      </c>
    </row>
    <row r="23">
      <c r="A23" s="16">
        <f>IF($B23="","",ROW()-4)</f>
        <v/>
      </c>
      <c r="B23" s="20" t="n"/>
      <c r="C23" s="20" t="n"/>
      <c r="D23" s="20" t="n"/>
      <c r="E23" s="20" t="n"/>
      <c r="F23" s="20" t="n"/>
      <c r="G23" s="20" t="n"/>
      <c r="H23" s="30" t="n"/>
      <c r="I23" s="30" t="n"/>
      <c r="J23" s="30" t="n"/>
      <c r="K23" s="31">
        <f>IF($B23="","",IF(ISNUMBER($J23),$J23,$I23))</f>
        <v/>
      </c>
      <c r="L23" s="32">
        <f>IF($B23="","",IFERROR(VLOOKUP($G23,FXRates,4,FALSE),1))</f>
        <v/>
      </c>
      <c r="M23" s="33">
        <f>IF($B23="","",$H23*$K23*$L23)</f>
        <v/>
      </c>
      <c r="N23" s="21" t="n"/>
      <c r="O23" s="14">
        <f>IF($B23="","",IF($D23=CashLabel,IF(ISNUMBER($N23),$N23,1),MIN(IF(ISNUMBER($N23),$N23,IFERROR(VLOOKUP($D23,LVTable,2,FALSE),0)),LVCap)))</f>
        <v/>
      </c>
      <c r="P23" s="25">
        <f>IF($B23="","",$M23*$O23)</f>
        <v/>
      </c>
      <c r="Q23" s="16">
        <f>IF($B23="","",IFERROR(VLOOKUP($G23,FXRates,5,FALSE),$G23))</f>
        <v/>
      </c>
      <c r="R23" s="14">
        <f>IF($B23="","",IF($D23=CashLabel,"",SUMIFS($P$5:$P$204,$B$5:$B$204,$B23,$D$5:$D$204,"&lt;&gt;"&amp;CashLabel)/ConcDenom))</f>
        <v/>
      </c>
      <c r="S23" s="14">
        <f>IF($B23="","",IF($D23=CashLabel,"",SUMIFS($P$5:$P$204,$E$5:$E$204,$E23,$D$5:$D$204,"&lt;&gt;"&amp;CashLabel)/ConcDenom))</f>
        <v/>
      </c>
      <c r="T23" s="14">
        <f>IF($B23="","",IF($D23=CashLabel,"",SUMIFS($P$5:$P$204,$F$5:$F$204,$F23,$D$5:$D$204,"&lt;&gt;"&amp;CashLabel)/ConcDenom))</f>
        <v/>
      </c>
      <c r="U23" s="14">
        <f>IF($B23="","",IF($D23=CashLabel,"",SUMIFS($P$5:$P$204,$D$5:$D$204,$D23,$D$5:$D$204,"&lt;&gt;"&amp;CashLabel)/ConcDenom))</f>
        <v/>
      </c>
      <c r="V23" s="15">
        <f>IF($B23="","",IF($D23=CashLabel,1,IF($R23&gt;ThrSingle,ThrSingle/$R23,1)))</f>
        <v/>
      </c>
      <c r="W23" s="15">
        <f>IF($B23="","",IF($D23=CashLabel,1,IF($S23&gt;ThrIssuer,ThrIssuer/$S23,1)))</f>
        <v/>
      </c>
      <c r="X23" s="15">
        <f>IF($B23="","",IF($D23=CashLabel,1,IF($T23&gt;IFERROR(VLOOKUP($F23,CountryThr,2,FALSE),DefThrCountry),IFERROR(VLOOKUP($F23,CountryThr,2,FALSE),DefThrCountry)/$T23,1)))</f>
        <v/>
      </c>
      <c r="Y23" s="15">
        <f>IF($B23="","",IF($D23=CashLabel,1,IF($U23&gt;IFERROR(VLOOKUP($D23,LVTable,3,FALSE),DefThrAsset),IFERROR(VLOOKUP($D23,LVTable,3,FALSE),DefThrAsset)/$U23,1)))</f>
        <v/>
      </c>
      <c r="Z23" s="34">
        <f>IF($B23="","",IF($D23=CashLabel,1,MIN($V23:$Y23)))</f>
        <v/>
      </c>
      <c r="AA23" s="25">
        <f>IF($B23="","",$P23*$Z23)</f>
        <v/>
      </c>
      <c r="AB23" s="33">
        <f>IF($B23="","",$P23-$AA23)</f>
        <v/>
      </c>
      <c r="AC23" s="21" t="n"/>
      <c r="AD23" s="33">
        <f>IF($B23="","",$M23*(1+IF(ISNUMBER($AC23),$AC23,0)))</f>
        <v/>
      </c>
      <c r="AE23" s="33">
        <f>IF($B23="","",$AD23*$O23)</f>
        <v/>
      </c>
      <c r="AF23" s="14">
        <f>IF($B23="","",IF($D23=CashLabel,"",SUMIFS($AE$5:$AE$204,$B$5:$B$204,$B23,$D$5:$D$204,"&lt;&gt;"&amp;CashLabel)/ConcDenomStr))</f>
        <v/>
      </c>
      <c r="AG23" s="14">
        <f>IF($B23="","",IF($D23=CashLabel,"",SUMIFS($AE$5:$AE$204,$E$5:$E$204,$E23,$D$5:$D$204,"&lt;&gt;"&amp;CashLabel)/ConcDenomStr))</f>
        <v/>
      </c>
      <c r="AH23" s="14">
        <f>IF($B23="","",IF($D23=CashLabel,"",SUMIFS($AE$5:$AE$204,$F$5:$F$204,$F23,$D$5:$D$204,"&lt;&gt;"&amp;CashLabel)/ConcDenomStr))</f>
        <v/>
      </c>
      <c r="AI23" s="14">
        <f>IF($B23="","",IF($D23=CashLabel,"",SUMIFS($AE$5:$AE$204,$D$5:$D$204,$D23,$D$5:$D$204,"&lt;&gt;"&amp;CashLabel)/ConcDenomStr))</f>
        <v/>
      </c>
      <c r="AJ23" s="15">
        <f>IF($B23="","",IF($D23=CashLabel,1,MIN(IF($AF23&gt;ThrSingle,ThrSingle/$AF23,1),IF($AG23&gt;ThrIssuer,ThrIssuer/$AG23,1),IF($AH23&gt;IFERROR(VLOOKUP($F23,CountryThr,2,FALSE),DefThrCountry),IFERROR(VLOOKUP($F23,CountryThr,2,FALSE),DefThrCountry)/$AH23,1),IF($AI23&gt;IFERROR(VLOOKUP($D23,LVTable,3,FALSE),DefThrAsset),IFERROR(VLOOKUP($D23,LVTable,3,FALSE),DefThrAsset)/$AI23,1))))</f>
        <v/>
      </c>
      <c r="AK23" s="33">
        <f>IF($B23="","",$AE23*$AJ23)</f>
        <v/>
      </c>
    </row>
    <row r="24">
      <c r="A24" s="16">
        <f>IF($B24="","",ROW()-4)</f>
        <v/>
      </c>
      <c r="B24" s="20" t="n"/>
      <c r="C24" s="20" t="n"/>
      <c r="D24" s="20" t="n"/>
      <c r="E24" s="20" t="n"/>
      <c r="F24" s="20" t="n"/>
      <c r="G24" s="20" t="n"/>
      <c r="H24" s="30" t="n"/>
      <c r="I24" s="30" t="n"/>
      <c r="J24" s="30" t="n"/>
      <c r="K24" s="31">
        <f>IF($B24="","",IF(ISNUMBER($J24),$J24,$I24))</f>
        <v/>
      </c>
      <c r="L24" s="32">
        <f>IF($B24="","",IFERROR(VLOOKUP($G24,FXRates,4,FALSE),1))</f>
        <v/>
      </c>
      <c r="M24" s="33">
        <f>IF($B24="","",$H24*$K24*$L24)</f>
        <v/>
      </c>
      <c r="N24" s="21" t="n"/>
      <c r="O24" s="14">
        <f>IF($B24="","",IF($D24=CashLabel,IF(ISNUMBER($N24),$N24,1),MIN(IF(ISNUMBER($N24),$N24,IFERROR(VLOOKUP($D24,LVTable,2,FALSE),0)),LVCap)))</f>
        <v/>
      </c>
      <c r="P24" s="25">
        <f>IF($B24="","",$M24*$O24)</f>
        <v/>
      </c>
      <c r="Q24" s="16">
        <f>IF($B24="","",IFERROR(VLOOKUP($G24,FXRates,5,FALSE),$G24))</f>
        <v/>
      </c>
      <c r="R24" s="14">
        <f>IF($B24="","",IF($D24=CashLabel,"",SUMIFS($P$5:$P$204,$B$5:$B$204,$B24,$D$5:$D$204,"&lt;&gt;"&amp;CashLabel)/ConcDenom))</f>
        <v/>
      </c>
      <c r="S24" s="14">
        <f>IF($B24="","",IF($D24=CashLabel,"",SUMIFS($P$5:$P$204,$E$5:$E$204,$E24,$D$5:$D$204,"&lt;&gt;"&amp;CashLabel)/ConcDenom))</f>
        <v/>
      </c>
      <c r="T24" s="14">
        <f>IF($B24="","",IF($D24=CashLabel,"",SUMIFS($P$5:$P$204,$F$5:$F$204,$F24,$D$5:$D$204,"&lt;&gt;"&amp;CashLabel)/ConcDenom))</f>
        <v/>
      </c>
      <c r="U24" s="14">
        <f>IF($B24="","",IF($D24=CashLabel,"",SUMIFS($P$5:$P$204,$D$5:$D$204,$D24,$D$5:$D$204,"&lt;&gt;"&amp;CashLabel)/ConcDenom))</f>
        <v/>
      </c>
      <c r="V24" s="15">
        <f>IF($B24="","",IF($D24=CashLabel,1,IF($R24&gt;ThrSingle,ThrSingle/$R24,1)))</f>
        <v/>
      </c>
      <c r="W24" s="15">
        <f>IF($B24="","",IF($D24=CashLabel,1,IF($S24&gt;ThrIssuer,ThrIssuer/$S24,1)))</f>
        <v/>
      </c>
      <c r="X24" s="15">
        <f>IF($B24="","",IF($D24=CashLabel,1,IF($T24&gt;IFERROR(VLOOKUP($F24,CountryThr,2,FALSE),DefThrCountry),IFERROR(VLOOKUP($F24,CountryThr,2,FALSE),DefThrCountry)/$T24,1)))</f>
        <v/>
      </c>
      <c r="Y24" s="15">
        <f>IF($B24="","",IF($D24=CashLabel,1,IF($U24&gt;IFERROR(VLOOKUP($D24,LVTable,3,FALSE),DefThrAsset),IFERROR(VLOOKUP($D24,LVTable,3,FALSE),DefThrAsset)/$U24,1)))</f>
        <v/>
      </c>
      <c r="Z24" s="34">
        <f>IF($B24="","",IF($D24=CashLabel,1,MIN($V24:$Y24)))</f>
        <v/>
      </c>
      <c r="AA24" s="25">
        <f>IF($B24="","",$P24*$Z24)</f>
        <v/>
      </c>
      <c r="AB24" s="33">
        <f>IF($B24="","",$P24-$AA24)</f>
        <v/>
      </c>
      <c r="AC24" s="21" t="n"/>
      <c r="AD24" s="33">
        <f>IF($B24="","",$M24*(1+IF(ISNUMBER($AC24),$AC24,0)))</f>
        <v/>
      </c>
      <c r="AE24" s="33">
        <f>IF($B24="","",$AD24*$O24)</f>
        <v/>
      </c>
      <c r="AF24" s="14">
        <f>IF($B24="","",IF($D24=CashLabel,"",SUMIFS($AE$5:$AE$204,$B$5:$B$204,$B24,$D$5:$D$204,"&lt;&gt;"&amp;CashLabel)/ConcDenomStr))</f>
        <v/>
      </c>
      <c r="AG24" s="14">
        <f>IF($B24="","",IF($D24=CashLabel,"",SUMIFS($AE$5:$AE$204,$E$5:$E$204,$E24,$D$5:$D$204,"&lt;&gt;"&amp;CashLabel)/ConcDenomStr))</f>
        <v/>
      </c>
      <c r="AH24" s="14">
        <f>IF($B24="","",IF($D24=CashLabel,"",SUMIFS($AE$5:$AE$204,$F$5:$F$204,$F24,$D$5:$D$204,"&lt;&gt;"&amp;CashLabel)/ConcDenomStr))</f>
        <v/>
      </c>
      <c r="AI24" s="14">
        <f>IF($B24="","",IF($D24=CashLabel,"",SUMIFS($AE$5:$AE$204,$D$5:$D$204,$D24,$D$5:$D$204,"&lt;&gt;"&amp;CashLabel)/ConcDenomStr))</f>
        <v/>
      </c>
      <c r="AJ24" s="15">
        <f>IF($B24="","",IF($D24=CashLabel,1,MIN(IF($AF24&gt;ThrSingle,ThrSingle/$AF24,1),IF($AG24&gt;ThrIssuer,ThrIssuer/$AG24,1),IF($AH24&gt;IFERROR(VLOOKUP($F24,CountryThr,2,FALSE),DefThrCountry),IFERROR(VLOOKUP($F24,CountryThr,2,FALSE),DefThrCountry)/$AH24,1),IF($AI24&gt;IFERROR(VLOOKUP($D24,LVTable,3,FALSE),DefThrAsset),IFERROR(VLOOKUP($D24,LVTable,3,FALSE),DefThrAsset)/$AI24,1))))</f>
        <v/>
      </c>
      <c r="AK24" s="33">
        <f>IF($B24="","",$AE24*$AJ24)</f>
        <v/>
      </c>
    </row>
    <row r="25">
      <c r="A25" s="16">
        <f>IF($B25="","",ROW()-4)</f>
        <v/>
      </c>
      <c r="B25" s="20" t="n"/>
      <c r="C25" s="20" t="n"/>
      <c r="D25" s="20" t="n"/>
      <c r="E25" s="20" t="n"/>
      <c r="F25" s="20" t="n"/>
      <c r="G25" s="20" t="n"/>
      <c r="H25" s="30" t="n"/>
      <c r="I25" s="30" t="n"/>
      <c r="J25" s="30" t="n"/>
      <c r="K25" s="31">
        <f>IF($B25="","",IF(ISNUMBER($J25),$J25,$I25))</f>
        <v/>
      </c>
      <c r="L25" s="32">
        <f>IF($B25="","",IFERROR(VLOOKUP($G25,FXRates,4,FALSE),1))</f>
        <v/>
      </c>
      <c r="M25" s="33">
        <f>IF($B25="","",$H25*$K25*$L25)</f>
        <v/>
      </c>
      <c r="N25" s="21" t="n"/>
      <c r="O25" s="14">
        <f>IF($B25="","",IF($D25=CashLabel,IF(ISNUMBER($N25),$N25,1),MIN(IF(ISNUMBER($N25),$N25,IFERROR(VLOOKUP($D25,LVTable,2,FALSE),0)),LVCap)))</f>
        <v/>
      </c>
      <c r="P25" s="25">
        <f>IF($B25="","",$M25*$O25)</f>
        <v/>
      </c>
      <c r="Q25" s="16">
        <f>IF($B25="","",IFERROR(VLOOKUP($G25,FXRates,5,FALSE),$G25))</f>
        <v/>
      </c>
      <c r="R25" s="14">
        <f>IF($B25="","",IF($D25=CashLabel,"",SUMIFS($P$5:$P$204,$B$5:$B$204,$B25,$D$5:$D$204,"&lt;&gt;"&amp;CashLabel)/ConcDenom))</f>
        <v/>
      </c>
      <c r="S25" s="14">
        <f>IF($B25="","",IF($D25=CashLabel,"",SUMIFS($P$5:$P$204,$E$5:$E$204,$E25,$D$5:$D$204,"&lt;&gt;"&amp;CashLabel)/ConcDenom))</f>
        <v/>
      </c>
      <c r="T25" s="14">
        <f>IF($B25="","",IF($D25=CashLabel,"",SUMIFS($P$5:$P$204,$F$5:$F$204,$F25,$D$5:$D$204,"&lt;&gt;"&amp;CashLabel)/ConcDenom))</f>
        <v/>
      </c>
      <c r="U25" s="14">
        <f>IF($B25="","",IF($D25=CashLabel,"",SUMIFS($P$5:$P$204,$D$5:$D$204,$D25,$D$5:$D$204,"&lt;&gt;"&amp;CashLabel)/ConcDenom))</f>
        <v/>
      </c>
      <c r="V25" s="15">
        <f>IF($B25="","",IF($D25=CashLabel,1,IF($R25&gt;ThrSingle,ThrSingle/$R25,1)))</f>
        <v/>
      </c>
      <c r="W25" s="15">
        <f>IF($B25="","",IF($D25=CashLabel,1,IF($S25&gt;ThrIssuer,ThrIssuer/$S25,1)))</f>
        <v/>
      </c>
      <c r="X25" s="15">
        <f>IF($B25="","",IF($D25=CashLabel,1,IF($T25&gt;IFERROR(VLOOKUP($F25,CountryThr,2,FALSE),DefThrCountry),IFERROR(VLOOKUP($F25,CountryThr,2,FALSE),DefThrCountry)/$T25,1)))</f>
        <v/>
      </c>
      <c r="Y25" s="15">
        <f>IF($B25="","",IF($D25=CashLabel,1,IF($U25&gt;IFERROR(VLOOKUP($D25,LVTable,3,FALSE),DefThrAsset),IFERROR(VLOOKUP($D25,LVTable,3,FALSE),DefThrAsset)/$U25,1)))</f>
        <v/>
      </c>
      <c r="Z25" s="34">
        <f>IF($B25="","",IF($D25=CashLabel,1,MIN($V25:$Y25)))</f>
        <v/>
      </c>
      <c r="AA25" s="25">
        <f>IF($B25="","",$P25*$Z25)</f>
        <v/>
      </c>
      <c r="AB25" s="33">
        <f>IF($B25="","",$P25-$AA25)</f>
        <v/>
      </c>
      <c r="AC25" s="21" t="n"/>
      <c r="AD25" s="33">
        <f>IF($B25="","",$M25*(1+IF(ISNUMBER($AC25),$AC25,0)))</f>
        <v/>
      </c>
      <c r="AE25" s="33">
        <f>IF($B25="","",$AD25*$O25)</f>
        <v/>
      </c>
      <c r="AF25" s="14">
        <f>IF($B25="","",IF($D25=CashLabel,"",SUMIFS($AE$5:$AE$204,$B$5:$B$204,$B25,$D$5:$D$204,"&lt;&gt;"&amp;CashLabel)/ConcDenomStr))</f>
        <v/>
      </c>
      <c r="AG25" s="14">
        <f>IF($B25="","",IF($D25=CashLabel,"",SUMIFS($AE$5:$AE$204,$E$5:$E$204,$E25,$D$5:$D$204,"&lt;&gt;"&amp;CashLabel)/ConcDenomStr))</f>
        <v/>
      </c>
      <c r="AH25" s="14">
        <f>IF($B25="","",IF($D25=CashLabel,"",SUMIFS($AE$5:$AE$204,$F$5:$F$204,$F25,$D$5:$D$204,"&lt;&gt;"&amp;CashLabel)/ConcDenomStr))</f>
        <v/>
      </c>
      <c r="AI25" s="14">
        <f>IF($B25="","",IF($D25=CashLabel,"",SUMIFS($AE$5:$AE$204,$D$5:$D$204,$D25,$D$5:$D$204,"&lt;&gt;"&amp;CashLabel)/ConcDenomStr))</f>
        <v/>
      </c>
      <c r="AJ25" s="15">
        <f>IF($B25="","",IF($D25=CashLabel,1,MIN(IF($AF25&gt;ThrSingle,ThrSingle/$AF25,1),IF($AG25&gt;ThrIssuer,ThrIssuer/$AG25,1),IF($AH25&gt;IFERROR(VLOOKUP($F25,CountryThr,2,FALSE),DefThrCountry),IFERROR(VLOOKUP($F25,CountryThr,2,FALSE),DefThrCountry)/$AH25,1),IF($AI25&gt;IFERROR(VLOOKUP($D25,LVTable,3,FALSE),DefThrAsset),IFERROR(VLOOKUP($D25,LVTable,3,FALSE),DefThrAsset)/$AI25,1))))</f>
        <v/>
      </c>
      <c r="AK25" s="33">
        <f>IF($B25="","",$AE25*$AJ25)</f>
        <v/>
      </c>
    </row>
    <row r="26">
      <c r="A26" s="16">
        <f>IF($B26="","",ROW()-4)</f>
        <v/>
      </c>
      <c r="B26" s="20" t="n"/>
      <c r="C26" s="20" t="n"/>
      <c r="D26" s="20" t="n"/>
      <c r="E26" s="20" t="n"/>
      <c r="F26" s="20" t="n"/>
      <c r="G26" s="20" t="n"/>
      <c r="H26" s="30" t="n"/>
      <c r="I26" s="30" t="n"/>
      <c r="J26" s="30" t="n"/>
      <c r="K26" s="31">
        <f>IF($B26="","",IF(ISNUMBER($J26),$J26,$I26))</f>
        <v/>
      </c>
      <c r="L26" s="32">
        <f>IF($B26="","",IFERROR(VLOOKUP($G26,FXRates,4,FALSE),1))</f>
        <v/>
      </c>
      <c r="M26" s="33">
        <f>IF($B26="","",$H26*$K26*$L26)</f>
        <v/>
      </c>
      <c r="N26" s="21" t="n"/>
      <c r="O26" s="14">
        <f>IF($B26="","",IF($D26=CashLabel,IF(ISNUMBER($N26),$N26,1),MIN(IF(ISNUMBER($N26),$N26,IFERROR(VLOOKUP($D26,LVTable,2,FALSE),0)),LVCap)))</f>
        <v/>
      </c>
      <c r="P26" s="25">
        <f>IF($B26="","",$M26*$O26)</f>
        <v/>
      </c>
      <c r="Q26" s="16">
        <f>IF($B26="","",IFERROR(VLOOKUP($G26,FXRates,5,FALSE),$G26))</f>
        <v/>
      </c>
      <c r="R26" s="14">
        <f>IF($B26="","",IF($D26=CashLabel,"",SUMIFS($P$5:$P$204,$B$5:$B$204,$B26,$D$5:$D$204,"&lt;&gt;"&amp;CashLabel)/ConcDenom))</f>
        <v/>
      </c>
      <c r="S26" s="14">
        <f>IF($B26="","",IF($D26=CashLabel,"",SUMIFS($P$5:$P$204,$E$5:$E$204,$E26,$D$5:$D$204,"&lt;&gt;"&amp;CashLabel)/ConcDenom))</f>
        <v/>
      </c>
      <c r="T26" s="14">
        <f>IF($B26="","",IF($D26=CashLabel,"",SUMIFS($P$5:$P$204,$F$5:$F$204,$F26,$D$5:$D$204,"&lt;&gt;"&amp;CashLabel)/ConcDenom))</f>
        <v/>
      </c>
      <c r="U26" s="14">
        <f>IF($B26="","",IF($D26=CashLabel,"",SUMIFS($P$5:$P$204,$D$5:$D$204,$D26,$D$5:$D$204,"&lt;&gt;"&amp;CashLabel)/ConcDenom))</f>
        <v/>
      </c>
      <c r="V26" s="15">
        <f>IF($B26="","",IF($D26=CashLabel,1,IF($R26&gt;ThrSingle,ThrSingle/$R26,1)))</f>
        <v/>
      </c>
      <c r="W26" s="15">
        <f>IF($B26="","",IF($D26=CashLabel,1,IF($S26&gt;ThrIssuer,ThrIssuer/$S26,1)))</f>
        <v/>
      </c>
      <c r="X26" s="15">
        <f>IF($B26="","",IF($D26=CashLabel,1,IF($T26&gt;IFERROR(VLOOKUP($F26,CountryThr,2,FALSE),DefThrCountry),IFERROR(VLOOKUP($F26,CountryThr,2,FALSE),DefThrCountry)/$T26,1)))</f>
        <v/>
      </c>
      <c r="Y26" s="15">
        <f>IF($B26="","",IF($D26=CashLabel,1,IF($U26&gt;IFERROR(VLOOKUP($D26,LVTable,3,FALSE),DefThrAsset),IFERROR(VLOOKUP($D26,LVTable,3,FALSE),DefThrAsset)/$U26,1)))</f>
        <v/>
      </c>
      <c r="Z26" s="34">
        <f>IF($B26="","",IF($D26=CashLabel,1,MIN($V26:$Y26)))</f>
        <v/>
      </c>
      <c r="AA26" s="25">
        <f>IF($B26="","",$P26*$Z26)</f>
        <v/>
      </c>
      <c r="AB26" s="33">
        <f>IF($B26="","",$P26-$AA26)</f>
        <v/>
      </c>
      <c r="AC26" s="21" t="n"/>
      <c r="AD26" s="33">
        <f>IF($B26="","",$M26*(1+IF(ISNUMBER($AC26),$AC26,0)))</f>
        <v/>
      </c>
      <c r="AE26" s="33">
        <f>IF($B26="","",$AD26*$O26)</f>
        <v/>
      </c>
      <c r="AF26" s="14">
        <f>IF($B26="","",IF($D26=CashLabel,"",SUMIFS($AE$5:$AE$204,$B$5:$B$204,$B26,$D$5:$D$204,"&lt;&gt;"&amp;CashLabel)/ConcDenomStr))</f>
        <v/>
      </c>
      <c r="AG26" s="14">
        <f>IF($B26="","",IF($D26=CashLabel,"",SUMIFS($AE$5:$AE$204,$E$5:$E$204,$E26,$D$5:$D$204,"&lt;&gt;"&amp;CashLabel)/ConcDenomStr))</f>
        <v/>
      </c>
      <c r="AH26" s="14">
        <f>IF($B26="","",IF($D26=CashLabel,"",SUMIFS($AE$5:$AE$204,$F$5:$F$204,$F26,$D$5:$D$204,"&lt;&gt;"&amp;CashLabel)/ConcDenomStr))</f>
        <v/>
      </c>
      <c r="AI26" s="14">
        <f>IF($B26="","",IF($D26=CashLabel,"",SUMIFS($AE$5:$AE$204,$D$5:$D$204,$D26,$D$5:$D$204,"&lt;&gt;"&amp;CashLabel)/ConcDenomStr))</f>
        <v/>
      </c>
      <c r="AJ26" s="15">
        <f>IF($B26="","",IF($D26=CashLabel,1,MIN(IF($AF26&gt;ThrSingle,ThrSingle/$AF26,1),IF($AG26&gt;ThrIssuer,ThrIssuer/$AG26,1),IF($AH26&gt;IFERROR(VLOOKUP($F26,CountryThr,2,FALSE),DefThrCountry),IFERROR(VLOOKUP($F26,CountryThr,2,FALSE),DefThrCountry)/$AH26,1),IF($AI26&gt;IFERROR(VLOOKUP($D26,LVTable,3,FALSE),DefThrAsset),IFERROR(VLOOKUP($D26,LVTable,3,FALSE),DefThrAsset)/$AI26,1))))</f>
        <v/>
      </c>
      <c r="AK26" s="33">
        <f>IF($B26="","",$AE26*$AJ26)</f>
        <v/>
      </c>
    </row>
    <row r="27">
      <c r="A27" s="16">
        <f>IF($B27="","",ROW()-4)</f>
        <v/>
      </c>
      <c r="B27" s="20" t="n"/>
      <c r="C27" s="20" t="n"/>
      <c r="D27" s="20" t="n"/>
      <c r="E27" s="20" t="n"/>
      <c r="F27" s="20" t="n"/>
      <c r="G27" s="20" t="n"/>
      <c r="H27" s="30" t="n"/>
      <c r="I27" s="30" t="n"/>
      <c r="J27" s="30" t="n"/>
      <c r="K27" s="31">
        <f>IF($B27="","",IF(ISNUMBER($J27),$J27,$I27))</f>
        <v/>
      </c>
      <c r="L27" s="32">
        <f>IF($B27="","",IFERROR(VLOOKUP($G27,FXRates,4,FALSE),1))</f>
        <v/>
      </c>
      <c r="M27" s="33">
        <f>IF($B27="","",$H27*$K27*$L27)</f>
        <v/>
      </c>
      <c r="N27" s="21" t="n"/>
      <c r="O27" s="14">
        <f>IF($B27="","",IF($D27=CashLabel,IF(ISNUMBER($N27),$N27,1),MIN(IF(ISNUMBER($N27),$N27,IFERROR(VLOOKUP($D27,LVTable,2,FALSE),0)),LVCap)))</f>
        <v/>
      </c>
      <c r="P27" s="25">
        <f>IF($B27="","",$M27*$O27)</f>
        <v/>
      </c>
      <c r="Q27" s="16">
        <f>IF($B27="","",IFERROR(VLOOKUP($G27,FXRates,5,FALSE),$G27))</f>
        <v/>
      </c>
      <c r="R27" s="14">
        <f>IF($B27="","",IF($D27=CashLabel,"",SUMIFS($P$5:$P$204,$B$5:$B$204,$B27,$D$5:$D$204,"&lt;&gt;"&amp;CashLabel)/ConcDenom))</f>
        <v/>
      </c>
      <c r="S27" s="14">
        <f>IF($B27="","",IF($D27=CashLabel,"",SUMIFS($P$5:$P$204,$E$5:$E$204,$E27,$D$5:$D$204,"&lt;&gt;"&amp;CashLabel)/ConcDenom))</f>
        <v/>
      </c>
      <c r="T27" s="14">
        <f>IF($B27="","",IF($D27=CashLabel,"",SUMIFS($P$5:$P$204,$F$5:$F$204,$F27,$D$5:$D$204,"&lt;&gt;"&amp;CashLabel)/ConcDenom))</f>
        <v/>
      </c>
      <c r="U27" s="14">
        <f>IF($B27="","",IF($D27=CashLabel,"",SUMIFS($P$5:$P$204,$D$5:$D$204,$D27,$D$5:$D$204,"&lt;&gt;"&amp;CashLabel)/ConcDenom))</f>
        <v/>
      </c>
      <c r="V27" s="15">
        <f>IF($B27="","",IF($D27=CashLabel,1,IF($R27&gt;ThrSingle,ThrSingle/$R27,1)))</f>
        <v/>
      </c>
      <c r="W27" s="15">
        <f>IF($B27="","",IF($D27=CashLabel,1,IF($S27&gt;ThrIssuer,ThrIssuer/$S27,1)))</f>
        <v/>
      </c>
      <c r="X27" s="15">
        <f>IF($B27="","",IF($D27=CashLabel,1,IF($T27&gt;IFERROR(VLOOKUP($F27,CountryThr,2,FALSE),DefThrCountry),IFERROR(VLOOKUP($F27,CountryThr,2,FALSE),DefThrCountry)/$T27,1)))</f>
        <v/>
      </c>
      <c r="Y27" s="15">
        <f>IF($B27="","",IF($D27=CashLabel,1,IF($U27&gt;IFERROR(VLOOKUP($D27,LVTable,3,FALSE),DefThrAsset),IFERROR(VLOOKUP($D27,LVTable,3,FALSE),DefThrAsset)/$U27,1)))</f>
        <v/>
      </c>
      <c r="Z27" s="34">
        <f>IF($B27="","",IF($D27=CashLabel,1,MIN($V27:$Y27)))</f>
        <v/>
      </c>
      <c r="AA27" s="25">
        <f>IF($B27="","",$P27*$Z27)</f>
        <v/>
      </c>
      <c r="AB27" s="33">
        <f>IF($B27="","",$P27-$AA27)</f>
        <v/>
      </c>
      <c r="AC27" s="21" t="n"/>
      <c r="AD27" s="33">
        <f>IF($B27="","",$M27*(1+IF(ISNUMBER($AC27),$AC27,0)))</f>
        <v/>
      </c>
      <c r="AE27" s="33">
        <f>IF($B27="","",$AD27*$O27)</f>
        <v/>
      </c>
      <c r="AF27" s="14">
        <f>IF($B27="","",IF($D27=CashLabel,"",SUMIFS($AE$5:$AE$204,$B$5:$B$204,$B27,$D$5:$D$204,"&lt;&gt;"&amp;CashLabel)/ConcDenomStr))</f>
        <v/>
      </c>
      <c r="AG27" s="14">
        <f>IF($B27="","",IF($D27=CashLabel,"",SUMIFS($AE$5:$AE$204,$E$5:$E$204,$E27,$D$5:$D$204,"&lt;&gt;"&amp;CashLabel)/ConcDenomStr))</f>
        <v/>
      </c>
      <c r="AH27" s="14">
        <f>IF($B27="","",IF($D27=CashLabel,"",SUMIFS($AE$5:$AE$204,$F$5:$F$204,$F27,$D$5:$D$204,"&lt;&gt;"&amp;CashLabel)/ConcDenomStr))</f>
        <v/>
      </c>
      <c r="AI27" s="14">
        <f>IF($B27="","",IF($D27=CashLabel,"",SUMIFS($AE$5:$AE$204,$D$5:$D$204,$D27,$D$5:$D$204,"&lt;&gt;"&amp;CashLabel)/ConcDenomStr))</f>
        <v/>
      </c>
      <c r="AJ27" s="15">
        <f>IF($B27="","",IF($D27=CashLabel,1,MIN(IF($AF27&gt;ThrSingle,ThrSingle/$AF27,1),IF($AG27&gt;ThrIssuer,ThrIssuer/$AG27,1),IF($AH27&gt;IFERROR(VLOOKUP($F27,CountryThr,2,FALSE),DefThrCountry),IFERROR(VLOOKUP($F27,CountryThr,2,FALSE),DefThrCountry)/$AH27,1),IF($AI27&gt;IFERROR(VLOOKUP($D27,LVTable,3,FALSE),DefThrAsset),IFERROR(VLOOKUP($D27,LVTable,3,FALSE),DefThrAsset)/$AI27,1))))</f>
        <v/>
      </c>
      <c r="AK27" s="33">
        <f>IF($B27="","",$AE27*$AJ27)</f>
        <v/>
      </c>
    </row>
    <row r="28">
      <c r="A28" s="16">
        <f>IF($B28="","",ROW()-4)</f>
        <v/>
      </c>
      <c r="B28" s="20" t="n"/>
      <c r="C28" s="20" t="n"/>
      <c r="D28" s="20" t="n"/>
      <c r="E28" s="20" t="n"/>
      <c r="F28" s="20" t="n"/>
      <c r="G28" s="20" t="n"/>
      <c r="H28" s="30" t="n"/>
      <c r="I28" s="30" t="n"/>
      <c r="J28" s="30" t="n"/>
      <c r="K28" s="31">
        <f>IF($B28="","",IF(ISNUMBER($J28),$J28,$I28))</f>
        <v/>
      </c>
      <c r="L28" s="32">
        <f>IF($B28="","",IFERROR(VLOOKUP($G28,FXRates,4,FALSE),1))</f>
        <v/>
      </c>
      <c r="M28" s="33">
        <f>IF($B28="","",$H28*$K28*$L28)</f>
        <v/>
      </c>
      <c r="N28" s="21" t="n"/>
      <c r="O28" s="14">
        <f>IF($B28="","",IF($D28=CashLabel,IF(ISNUMBER($N28),$N28,1),MIN(IF(ISNUMBER($N28),$N28,IFERROR(VLOOKUP($D28,LVTable,2,FALSE),0)),LVCap)))</f>
        <v/>
      </c>
      <c r="P28" s="25">
        <f>IF($B28="","",$M28*$O28)</f>
        <v/>
      </c>
      <c r="Q28" s="16">
        <f>IF($B28="","",IFERROR(VLOOKUP($G28,FXRates,5,FALSE),$G28))</f>
        <v/>
      </c>
      <c r="R28" s="14">
        <f>IF($B28="","",IF($D28=CashLabel,"",SUMIFS($P$5:$P$204,$B$5:$B$204,$B28,$D$5:$D$204,"&lt;&gt;"&amp;CashLabel)/ConcDenom))</f>
        <v/>
      </c>
      <c r="S28" s="14">
        <f>IF($B28="","",IF($D28=CashLabel,"",SUMIFS($P$5:$P$204,$E$5:$E$204,$E28,$D$5:$D$204,"&lt;&gt;"&amp;CashLabel)/ConcDenom))</f>
        <v/>
      </c>
      <c r="T28" s="14">
        <f>IF($B28="","",IF($D28=CashLabel,"",SUMIFS($P$5:$P$204,$F$5:$F$204,$F28,$D$5:$D$204,"&lt;&gt;"&amp;CashLabel)/ConcDenom))</f>
        <v/>
      </c>
      <c r="U28" s="14">
        <f>IF($B28="","",IF($D28=CashLabel,"",SUMIFS($P$5:$P$204,$D$5:$D$204,$D28,$D$5:$D$204,"&lt;&gt;"&amp;CashLabel)/ConcDenom))</f>
        <v/>
      </c>
      <c r="V28" s="15">
        <f>IF($B28="","",IF($D28=CashLabel,1,IF($R28&gt;ThrSingle,ThrSingle/$R28,1)))</f>
        <v/>
      </c>
      <c r="W28" s="15">
        <f>IF($B28="","",IF($D28=CashLabel,1,IF($S28&gt;ThrIssuer,ThrIssuer/$S28,1)))</f>
        <v/>
      </c>
      <c r="X28" s="15">
        <f>IF($B28="","",IF($D28=CashLabel,1,IF($T28&gt;IFERROR(VLOOKUP($F28,CountryThr,2,FALSE),DefThrCountry),IFERROR(VLOOKUP($F28,CountryThr,2,FALSE),DefThrCountry)/$T28,1)))</f>
        <v/>
      </c>
      <c r="Y28" s="15">
        <f>IF($B28="","",IF($D28=CashLabel,1,IF($U28&gt;IFERROR(VLOOKUP($D28,LVTable,3,FALSE),DefThrAsset),IFERROR(VLOOKUP($D28,LVTable,3,FALSE),DefThrAsset)/$U28,1)))</f>
        <v/>
      </c>
      <c r="Z28" s="34">
        <f>IF($B28="","",IF($D28=CashLabel,1,MIN($V28:$Y28)))</f>
        <v/>
      </c>
      <c r="AA28" s="25">
        <f>IF($B28="","",$P28*$Z28)</f>
        <v/>
      </c>
      <c r="AB28" s="33">
        <f>IF($B28="","",$P28-$AA28)</f>
        <v/>
      </c>
      <c r="AC28" s="21" t="n"/>
      <c r="AD28" s="33">
        <f>IF($B28="","",$M28*(1+IF(ISNUMBER($AC28),$AC28,0)))</f>
        <v/>
      </c>
      <c r="AE28" s="33">
        <f>IF($B28="","",$AD28*$O28)</f>
        <v/>
      </c>
      <c r="AF28" s="14">
        <f>IF($B28="","",IF($D28=CashLabel,"",SUMIFS($AE$5:$AE$204,$B$5:$B$204,$B28,$D$5:$D$204,"&lt;&gt;"&amp;CashLabel)/ConcDenomStr))</f>
        <v/>
      </c>
      <c r="AG28" s="14">
        <f>IF($B28="","",IF($D28=CashLabel,"",SUMIFS($AE$5:$AE$204,$E$5:$E$204,$E28,$D$5:$D$204,"&lt;&gt;"&amp;CashLabel)/ConcDenomStr))</f>
        <v/>
      </c>
      <c r="AH28" s="14">
        <f>IF($B28="","",IF($D28=CashLabel,"",SUMIFS($AE$5:$AE$204,$F$5:$F$204,$F28,$D$5:$D$204,"&lt;&gt;"&amp;CashLabel)/ConcDenomStr))</f>
        <v/>
      </c>
      <c r="AI28" s="14">
        <f>IF($B28="","",IF($D28=CashLabel,"",SUMIFS($AE$5:$AE$204,$D$5:$D$204,$D28,$D$5:$D$204,"&lt;&gt;"&amp;CashLabel)/ConcDenomStr))</f>
        <v/>
      </c>
      <c r="AJ28" s="15">
        <f>IF($B28="","",IF($D28=CashLabel,1,MIN(IF($AF28&gt;ThrSingle,ThrSingle/$AF28,1),IF($AG28&gt;ThrIssuer,ThrIssuer/$AG28,1),IF($AH28&gt;IFERROR(VLOOKUP($F28,CountryThr,2,FALSE),DefThrCountry),IFERROR(VLOOKUP($F28,CountryThr,2,FALSE),DefThrCountry)/$AH28,1),IF($AI28&gt;IFERROR(VLOOKUP($D28,LVTable,3,FALSE),DefThrAsset),IFERROR(VLOOKUP($D28,LVTable,3,FALSE),DefThrAsset)/$AI28,1))))</f>
        <v/>
      </c>
      <c r="AK28" s="33">
        <f>IF($B28="","",$AE28*$AJ28)</f>
        <v/>
      </c>
    </row>
    <row r="29">
      <c r="A29" s="16">
        <f>IF($B29="","",ROW()-4)</f>
        <v/>
      </c>
      <c r="B29" s="20" t="n"/>
      <c r="C29" s="20" t="n"/>
      <c r="D29" s="20" t="n"/>
      <c r="E29" s="20" t="n"/>
      <c r="F29" s="20" t="n"/>
      <c r="G29" s="20" t="n"/>
      <c r="H29" s="30" t="n"/>
      <c r="I29" s="30" t="n"/>
      <c r="J29" s="30" t="n"/>
      <c r="K29" s="31">
        <f>IF($B29="","",IF(ISNUMBER($J29),$J29,$I29))</f>
        <v/>
      </c>
      <c r="L29" s="32">
        <f>IF($B29="","",IFERROR(VLOOKUP($G29,FXRates,4,FALSE),1))</f>
        <v/>
      </c>
      <c r="M29" s="33">
        <f>IF($B29="","",$H29*$K29*$L29)</f>
        <v/>
      </c>
      <c r="N29" s="21" t="n"/>
      <c r="O29" s="14">
        <f>IF($B29="","",IF($D29=CashLabel,IF(ISNUMBER($N29),$N29,1),MIN(IF(ISNUMBER($N29),$N29,IFERROR(VLOOKUP($D29,LVTable,2,FALSE),0)),LVCap)))</f>
        <v/>
      </c>
      <c r="P29" s="25">
        <f>IF($B29="","",$M29*$O29)</f>
        <v/>
      </c>
      <c r="Q29" s="16">
        <f>IF($B29="","",IFERROR(VLOOKUP($G29,FXRates,5,FALSE),$G29))</f>
        <v/>
      </c>
      <c r="R29" s="14">
        <f>IF($B29="","",IF($D29=CashLabel,"",SUMIFS($P$5:$P$204,$B$5:$B$204,$B29,$D$5:$D$204,"&lt;&gt;"&amp;CashLabel)/ConcDenom))</f>
        <v/>
      </c>
      <c r="S29" s="14">
        <f>IF($B29="","",IF($D29=CashLabel,"",SUMIFS($P$5:$P$204,$E$5:$E$204,$E29,$D$5:$D$204,"&lt;&gt;"&amp;CashLabel)/ConcDenom))</f>
        <v/>
      </c>
      <c r="T29" s="14">
        <f>IF($B29="","",IF($D29=CashLabel,"",SUMIFS($P$5:$P$204,$F$5:$F$204,$F29,$D$5:$D$204,"&lt;&gt;"&amp;CashLabel)/ConcDenom))</f>
        <v/>
      </c>
      <c r="U29" s="14">
        <f>IF($B29="","",IF($D29=CashLabel,"",SUMIFS($P$5:$P$204,$D$5:$D$204,$D29,$D$5:$D$204,"&lt;&gt;"&amp;CashLabel)/ConcDenom))</f>
        <v/>
      </c>
      <c r="V29" s="15">
        <f>IF($B29="","",IF($D29=CashLabel,1,IF($R29&gt;ThrSingle,ThrSingle/$R29,1)))</f>
        <v/>
      </c>
      <c r="W29" s="15">
        <f>IF($B29="","",IF($D29=CashLabel,1,IF($S29&gt;ThrIssuer,ThrIssuer/$S29,1)))</f>
        <v/>
      </c>
      <c r="X29" s="15">
        <f>IF($B29="","",IF($D29=CashLabel,1,IF($T29&gt;IFERROR(VLOOKUP($F29,CountryThr,2,FALSE),DefThrCountry),IFERROR(VLOOKUP($F29,CountryThr,2,FALSE),DefThrCountry)/$T29,1)))</f>
        <v/>
      </c>
      <c r="Y29" s="15">
        <f>IF($B29="","",IF($D29=CashLabel,1,IF($U29&gt;IFERROR(VLOOKUP($D29,LVTable,3,FALSE),DefThrAsset),IFERROR(VLOOKUP($D29,LVTable,3,FALSE),DefThrAsset)/$U29,1)))</f>
        <v/>
      </c>
      <c r="Z29" s="34">
        <f>IF($B29="","",IF($D29=CashLabel,1,MIN($V29:$Y29)))</f>
        <v/>
      </c>
      <c r="AA29" s="25">
        <f>IF($B29="","",$P29*$Z29)</f>
        <v/>
      </c>
      <c r="AB29" s="33">
        <f>IF($B29="","",$P29-$AA29)</f>
        <v/>
      </c>
      <c r="AC29" s="21" t="n"/>
      <c r="AD29" s="33">
        <f>IF($B29="","",$M29*(1+IF(ISNUMBER($AC29),$AC29,0)))</f>
        <v/>
      </c>
      <c r="AE29" s="33">
        <f>IF($B29="","",$AD29*$O29)</f>
        <v/>
      </c>
      <c r="AF29" s="14">
        <f>IF($B29="","",IF($D29=CashLabel,"",SUMIFS($AE$5:$AE$204,$B$5:$B$204,$B29,$D$5:$D$204,"&lt;&gt;"&amp;CashLabel)/ConcDenomStr))</f>
        <v/>
      </c>
      <c r="AG29" s="14">
        <f>IF($B29="","",IF($D29=CashLabel,"",SUMIFS($AE$5:$AE$204,$E$5:$E$204,$E29,$D$5:$D$204,"&lt;&gt;"&amp;CashLabel)/ConcDenomStr))</f>
        <v/>
      </c>
      <c r="AH29" s="14">
        <f>IF($B29="","",IF($D29=CashLabel,"",SUMIFS($AE$5:$AE$204,$F$5:$F$204,$F29,$D$5:$D$204,"&lt;&gt;"&amp;CashLabel)/ConcDenomStr))</f>
        <v/>
      </c>
      <c r="AI29" s="14">
        <f>IF($B29="","",IF($D29=CashLabel,"",SUMIFS($AE$5:$AE$204,$D$5:$D$204,$D29,$D$5:$D$204,"&lt;&gt;"&amp;CashLabel)/ConcDenomStr))</f>
        <v/>
      </c>
      <c r="AJ29" s="15">
        <f>IF($B29="","",IF($D29=CashLabel,1,MIN(IF($AF29&gt;ThrSingle,ThrSingle/$AF29,1),IF($AG29&gt;ThrIssuer,ThrIssuer/$AG29,1),IF($AH29&gt;IFERROR(VLOOKUP($F29,CountryThr,2,FALSE),DefThrCountry),IFERROR(VLOOKUP($F29,CountryThr,2,FALSE),DefThrCountry)/$AH29,1),IF($AI29&gt;IFERROR(VLOOKUP($D29,LVTable,3,FALSE),DefThrAsset),IFERROR(VLOOKUP($D29,LVTable,3,FALSE),DefThrAsset)/$AI29,1))))</f>
        <v/>
      </c>
      <c r="AK29" s="33">
        <f>IF($B29="","",$AE29*$AJ29)</f>
        <v/>
      </c>
    </row>
    <row r="30">
      <c r="A30" s="16">
        <f>IF($B30="","",ROW()-4)</f>
        <v/>
      </c>
      <c r="B30" s="20" t="n"/>
      <c r="C30" s="20" t="n"/>
      <c r="D30" s="20" t="n"/>
      <c r="E30" s="20" t="n"/>
      <c r="F30" s="20" t="n"/>
      <c r="G30" s="20" t="n"/>
      <c r="H30" s="30" t="n"/>
      <c r="I30" s="30" t="n"/>
      <c r="J30" s="30" t="n"/>
      <c r="K30" s="31">
        <f>IF($B30="","",IF(ISNUMBER($J30),$J30,$I30))</f>
        <v/>
      </c>
      <c r="L30" s="32">
        <f>IF($B30="","",IFERROR(VLOOKUP($G30,FXRates,4,FALSE),1))</f>
        <v/>
      </c>
      <c r="M30" s="33">
        <f>IF($B30="","",$H30*$K30*$L30)</f>
        <v/>
      </c>
      <c r="N30" s="21" t="n"/>
      <c r="O30" s="14">
        <f>IF($B30="","",IF($D30=CashLabel,IF(ISNUMBER($N30),$N30,1),MIN(IF(ISNUMBER($N30),$N30,IFERROR(VLOOKUP($D30,LVTable,2,FALSE),0)),LVCap)))</f>
        <v/>
      </c>
      <c r="P30" s="25">
        <f>IF($B30="","",$M30*$O30)</f>
        <v/>
      </c>
      <c r="Q30" s="16">
        <f>IF($B30="","",IFERROR(VLOOKUP($G30,FXRates,5,FALSE),$G30))</f>
        <v/>
      </c>
      <c r="R30" s="14">
        <f>IF($B30="","",IF($D30=CashLabel,"",SUMIFS($P$5:$P$204,$B$5:$B$204,$B30,$D$5:$D$204,"&lt;&gt;"&amp;CashLabel)/ConcDenom))</f>
        <v/>
      </c>
      <c r="S30" s="14">
        <f>IF($B30="","",IF($D30=CashLabel,"",SUMIFS($P$5:$P$204,$E$5:$E$204,$E30,$D$5:$D$204,"&lt;&gt;"&amp;CashLabel)/ConcDenom))</f>
        <v/>
      </c>
      <c r="T30" s="14">
        <f>IF($B30="","",IF($D30=CashLabel,"",SUMIFS($P$5:$P$204,$F$5:$F$204,$F30,$D$5:$D$204,"&lt;&gt;"&amp;CashLabel)/ConcDenom))</f>
        <v/>
      </c>
      <c r="U30" s="14">
        <f>IF($B30="","",IF($D30=CashLabel,"",SUMIFS($P$5:$P$204,$D$5:$D$204,$D30,$D$5:$D$204,"&lt;&gt;"&amp;CashLabel)/ConcDenom))</f>
        <v/>
      </c>
      <c r="V30" s="15">
        <f>IF($B30="","",IF($D30=CashLabel,1,IF($R30&gt;ThrSingle,ThrSingle/$R30,1)))</f>
        <v/>
      </c>
      <c r="W30" s="15">
        <f>IF($B30="","",IF($D30=CashLabel,1,IF($S30&gt;ThrIssuer,ThrIssuer/$S30,1)))</f>
        <v/>
      </c>
      <c r="X30" s="15">
        <f>IF($B30="","",IF($D30=CashLabel,1,IF($T30&gt;IFERROR(VLOOKUP($F30,CountryThr,2,FALSE),DefThrCountry),IFERROR(VLOOKUP($F30,CountryThr,2,FALSE),DefThrCountry)/$T30,1)))</f>
        <v/>
      </c>
      <c r="Y30" s="15">
        <f>IF($B30="","",IF($D30=CashLabel,1,IF($U30&gt;IFERROR(VLOOKUP($D30,LVTable,3,FALSE),DefThrAsset),IFERROR(VLOOKUP($D30,LVTable,3,FALSE),DefThrAsset)/$U30,1)))</f>
        <v/>
      </c>
      <c r="Z30" s="34">
        <f>IF($B30="","",IF($D30=CashLabel,1,MIN($V30:$Y30)))</f>
        <v/>
      </c>
      <c r="AA30" s="25">
        <f>IF($B30="","",$P30*$Z30)</f>
        <v/>
      </c>
      <c r="AB30" s="33">
        <f>IF($B30="","",$P30-$AA30)</f>
        <v/>
      </c>
      <c r="AC30" s="21" t="n"/>
      <c r="AD30" s="33">
        <f>IF($B30="","",$M30*(1+IF(ISNUMBER($AC30),$AC30,0)))</f>
        <v/>
      </c>
      <c r="AE30" s="33">
        <f>IF($B30="","",$AD30*$O30)</f>
        <v/>
      </c>
      <c r="AF30" s="14">
        <f>IF($B30="","",IF($D30=CashLabel,"",SUMIFS($AE$5:$AE$204,$B$5:$B$204,$B30,$D$5:$D$204,"&lt;&gt;"&amp;CashLabel)/ConcDenomStr))</f>
        <v/>
      </c>
      <c r="AG30" s="14">
        <f>IF($B30="","",IF($D30=CashLabel,"",SUMIFS($AE$5:$AE$204,$E$5:$E$204,$E30,$D$5:$D$204,"&lt;&gt;"&amp;CashLabel)/ConcDenomStr))</f>
        <v/>
      </c>
      <c r="AH30" s="14">
        <f>IF($B30="","",IF($D30=CashLabel,"",SUMIFS($AE$5:$AE$204,$F$5:$F$204,$F30,$D$5:$D$204,"&lt;&gt;"&amp;CashLabel)/ConcDenomStr))</f>
        <v/>
      </c>
      <c r="AI30" s="14">
        <f>IF($B30="","",IF($D30=CashLabel,"",SUMIFS($AE$5:$AE$204,$D$5:$D$204,$D30,$D$5:$D$204,"&lt;&gt;"&amp;CashLabel)/ConcDenomStr))</f>
        <v/>
      </c>
      <c r="AJ30" s="15">
        <f>IF($B30="","",IF($D30=CashLabel,1,MIN(IF($AF30&gt;ThrSingle,ThrSingle/$AF30,1),IF($AG30&gt;ThrIssuer,ThrIssuer/$AG30,1),IF($AH30&gt;IFERROR(VLOOKUP($F30,CountryThr,2,FALSE),DefThrCountry),IFERROR(VLOOKUP($F30,CountryThr,2,FALSE),DefThrCountry)/$AH30,1),IF($AI30&gt;IFERROR(VLOOKUP($D30,LVTable,3,FALSE),DefThrAsset),IFERROR(VLOOKUP($D30,LVTable,3,FALSE),DefThrAsset)/$AI30,1))))</f>
        <v/>
      </c>
      <c r="AK30" s="33">
        <f>IF($B30="","",$AE30*$AJ30)</f>
        <v/>
      </c>
    </row>
    <row r="31">
      <c r="A31" s="16">
        <f>IF($B31="","",ROW()-4)</f>
        <v/>
      </c>
      <c r="B31" s="20" t="n"/>
      <c r="C31" s="20" t="n"/>
      <c r="D31" s="20" t="n"/>
      <c r="E31" s="20" t="n"/>
      <c r="F31" s="20" t="n"/>
      <c r="G31" s="20" t="n"/>
      <c r="H31" s="30" t="n"/>
      <c r="I31" s="30" t="n"/>
      <c r="J31" s="30" t="n"/>
      <c r="K31" s="31">
        <f>IF($B31="","",IF(ISNUMBER($J31),$J31,$I31))</f>
        <v/>
      </c>
      <c r="L31" s="32">
        <f>IF($B31="","",IFERROR(VLOOKUP($G31,FXRates,4,FALSE),1))</f>
        <v/>
      </c>
      <c r="M31" s="33">
        <f>IF($B31="","",$H31*$K31*$L31)</f>
        <v/>
      </c>
      <c r="N31" s="21" t="n"/>
      <c r="O31" s="14">
        <f>IF($B31="","",IF($D31=CashLabel,IF(ISNUMBER($N31),$N31,1),MIN(IF(ISNUMBER($N31),$N31,IFERROR(VLOOKUP($D31,LVTable,2,FALSE),0)),LVCap)))</f>
        <v/>
      </c>
      <c r="P31" s="25">
        <f>IF($B31="","",$M31*$O31)</f>
        <v/>
      </c>
      <c r="Q31" s="16">
        <f>IF($B31="","",IFERROR(VLOOKUP($G31,FXRates,5,FALSE),$G31))</f>
        <v/>
      </c>
      <c r="R31" s="14">
        <f>IF($B31="","",IF($D31=CashLabel,"",SUMIFS($P$5:$P$204,$B$5:$B$204,$B31,$D$5:$D$204,"&lt;&gt;"&amp;CashLabel)/ConcDenom))</f>
        <v/>
      </c>
      <c r="S31" s="14">
        <f>IF($B31="","",IF($D31=CashLabel,"",SUMIFS($P$5:$P$204,$E$5:$E$204,$E31,$D$5:$D$204,"&lt;&gt;"&amp;CashLabel)/ConcDenom))</f>
        <v/>
      </c>
      <c r="T31" s="14">
        <f>IF($B31="","",IF($D31=CashLabel,"",SUMIFS($P$5:$P$204,$F$5:$F$204,$F31,$D$5:$D$204,"&lt;&gt;"&amp;CashLabel)/ConcDenom))</f>
        <v/>
      </c>
      <c r="U31" s="14">
        <f>IF($B31="","",IF($D31=CashLabel,"",SUMIFS($P$5:$P$204,$D$5:$D$204,$D31,$D$5:$D$204,"&lt;&gt;"&amp;CashLabel)/ConcDenom))</f>
        <v/>
      </c>
      <c r="V31" s="15">
        <f>IF($B31="","",IF($D31=CashLabel,1,IF($R31&gt;ThrSingle,ThrSingle/$R31,1)))</f>
        <v/>
      </c>
      <c r="W31" s="15">
        <f>IF($B31="","",IF($D31=CashLabel,1,IF($S31&gt;ThrIssuer,ThrIssuer/$S31,1)))</f>
        <v/>
      </c>
      <c r="X31" s="15">
        <f>IF($B31="","",IF($D31=CashLabel,1,IF($T31&gt;IFERROR(VLOOKUP($F31,CountryThr,2,FALSE),DefThrCountry),IFERROR(VLOOKUP($F31,CountryThr,2,FALSE),DefThrCountry)/$T31,1)))</f>
        <v/>
      </c>
      <c r="Y31" s="15">
        <f>IF($B31="","",IF($D31=CashLabel,1,IF($U31&gt;IFERROR(VLOOKUP($D31,LVTable,3,FALSE),DefThrAsset),IFERROR(VLOOKUP($D31,LVTable,3,FALSE),DefThrAsset)/$U31,1)))</f>
        <v/>
      </c>
      <c r="Z31" s="34">
        <f>IF($B31="","",IF($D31=CashLabel,1,MIN($V31:$Y31)))</f>
        <v/>
      </c>
      <c r="AA31" s="25">
        <f>IF($B31="","",$P31*$Z31)</f>
        <v/>
      </c>
      <c r="AB31" s="33">
        <f>IF($B31="","",$P31-$AA31)</f>
        <v/>
      </c>
      <c r="AC31" s="21" t="n"/>
      <c r="AD31" s="33">
        <f>IF($B31="","",$M31*(1+IF(ISNUMBER($AC31),$AC31,0)))</f>
        <v/>
      </c>
      <c r="AE31" s="33">
        <f>IF($B31="","",$AD31*$O31)</f>
        <v/>
      </c>
      <c r="AF31" s="14">
        <f>IF($B31="","",IF($D31=CashLabel,"",SUMIFS($AE$5:$AE$204,$B$5:$B$204,$B31,$D$5:$D$204,"&lt;&gt;"&amp;CashLabel)/ConcDenomStr))</f>
        <v/>
      </c>
      <c r="AG31" s="14">
        <f>IF($B31="","",IF($D31=CashLabel,"",SUMIFS($AE$5:$AE$204,$E$5:$E$204,$E31,$D$5:$D$204,"&lt;&gt;"&amp;CashLabel)/ConcDenomStr))</f>
        <v/>
      </c>
      <c r="AH31" s="14">
        <f>IF($B31="","",IF($D31=CashLabel,"",SUMIFS($AE$5:$AE$204,$F$5:$F$204,$F31,$D$5:$D$204,"&lt;&gt;"&amp;CashLabel)/ConcDenomStr))</f>
        <v/>
      </c>
      <c r="AI31" s="14">
        <f>IF($B31="","",IF($D31=CashLabel,"",SUMIFS($AE$5:$AE$204,$D$5:$D$204,$D31,$D$5:$D$204,"&lt;&gt;"&amp;CashLabel)/ConcDenomStr))</f>
        <v/>
      </c>
      <c r="AJ31" s="15">
        <f>IF($B31="","",IF($D31=CashLabel,1,MIN(IF($AF31&gt;ThrSingle,ThrSingle/$AF31,1),IF($AG31&gt;ThrIssuer,ThrIssuer/$AG31,1),IF($AH31&gt;IFERROR(VLOOKUP($F31,CountryThr,2,FALSE),DefThrCountry),IFERROR(VLOOKUP($F31,CountryThr,2,FALSE),DefThrCountry)/$AH31,1),IF($AI31&gt;IFERROR(VLOOKUP($D31,LVTable,3,FALSE),DefThrAsset),IFERROR(VLOOKUP($D31,LVTable,3,FALSE),DefThrAsset)/$AI31,1))))</f>
        <v/>
      </c>
      <c r="AK31" s="33">
        <f>IF($B31="","",$AE31*$AJ31)</f>
        <v/>
      </c>
    </row>
    <row r="32">
      <c r="A32" s="16">
        <f>IF($B32="","",ROW()-4)</f>
        <v/>
      </c>
      <c r="B32" s="20" t="n"/>
      <c r="C32" s="20" t="n"/>
      <c r="D32" s="20" t="n"/>
      <c r="E32" s="20" t="n"/>
      <c r="F32" s="20" t="n"/>
      <c r="G32" s="20" t="n"/>
      <c r="H32" s="30" t="n"/>
      <c r="I32" s="30" t="n"/>
      <c r="J32" s="30" t="n"/>
      <c r="K32" s="31">
        <f>IF($B32="","",IF(ISNUMBER($J32),$J32,$I32))</f>
        <v/>
      </c>
      <c r="L32" s="32">
        <f>IF($B32="","",IFERROR(VLOOKUP($G32,FXRates,4,FALSE),1))</f>
        <v/>
      </c>
      <c r="M32" s="33">
        <f>IF($B32="","",$H32*$K32*$L32)</f>
        <v/>
      </c>
      <c r="N32" s="21" t="n"/>
      <c r="O32" s="14">
        <f>IF($B32="","",IF($D32=CashLabel,IF(ISNUMBER($N32),$N32,1),MIN(IF(ISNUMBER($N32),$N32,IFERROR(VLOOKUP($D32,LVTable,2,FALSE),0)),LVCap)))</f>
        <v/>
      </c>
      <c r="P32" s="25">
        <f>IF($B32="","",$M32*$O32)</f>
        <v/>
      </c>
      <c r="Q32" s="16">
        <f>IF($B32="","",IFERROR(VLOOKUP($G32,FXRates,5,FALSE),$G32))</f>
        <v/>
      </c>
      <c r="R32" s="14">
        <f>IF($B32="","",IF($D32=CashLabel,"",SUMIFS($P$5:$P$204,$B$5:$B$204,$B32,$D$5:$D$204,"&lt;&gt;"&amp;CashLabel)/ConcDenom))</f>
        <v/>
      </c>
      <c r="S32" s="14">
        <f>IF($B32="","",IF($D32=CashLabel,"",SUMIFS($P$5:$P$204,$E$5:$E$204,$E32,$D$5:$D$204,"&lt;&gt;"&amp;CashLabel)/ConcDenom))</f>
        <v/>
      </c>
      <c r="T32" s="14">
        <f>IF($B32="","",IF($D32=CashLabel,"",SUMIFS($P$5:$P$204,$F$5:$F$204,$F32,$D$5:$D$204,"&lt;&gt;"&amp;CashLabel)/ConcDenom))</f>
        <v/>
      </c>
      <c r="U32" s="14">
        <f>IF($B32="","",IF($D32=CashLabel,"",SUMIFS($P$5:$P$204,$D$5:$D$204,$D32,$D$5:$D$204,"&lt;&gt;"&amp;CashLabel)/ConcDenom))</f>
        <v/>
      </c>
      <c r="V32" s="15">
        <f>IF($B32="","",IF($D32=CashLabel,1,IF($R32&gt;ThrSingle,ThrSingle/$R32,1)))</f>
        <v/>
      </c>
      <c r="W32" s="15">
        <f>IF($B32="","",IF($D32=CashLabel,1,IF($S32&gt;ThrIssuer,ThrIssuer/$S32,1)))</f>
        <v/>
      </c>
      <c r="X32" s="15">
        <f>IF($B32="","",IF($D32=CashLabel,1,IF($T32&gt;IFERROR(VLOOKUP($F32,CountryThr,2,FALSE),DefThrCountry),IFERROR(VLOOKUP($F32,CountryThr,2,FALSE),DefThrCountry)/$T32,1)))</f>
        <v/>
      </c>
      <c r="Y32" s="15">
        <f>IF($B32="","",IF($D32=CashLabel,1,IF($U32&gt;IFERROR(VLOOKUP($D32,LVTable,3,FALSE),DefThrAsset),IFERROR(VLOOKUP($D32,LVTable,3,FALSE),DefThrAsset)/$U32,1)))</f>
        <v/>
      </c>
      <c r="Z32" s="34">
        <f>IF($B32="","",IF($D32=CashLabel,1,MIN($V32:$Y32)))</f>
        <v/>
      </c>
      <c r="AA32" s="25">
        <f>IF($B32="","",$P32*$Z32)</f>
        <v/>
      </c>
      <c r="AB32" s="33">
        <f>IF($B32="","",$P32-$AA32)</f>
        <v/>
      </c>
      <c r="AC32" s="21" t="n"/>
      <c r="AD32" s="33">
        <f>IF($B32="","",$M32*(1+IF(ISNUMBER($AC32),$AC32,0)))</f>
        <v/>
      </c>
      <c r="AE32" s="33">
        <f>IF($B32="","",$AD32*$O32)</f>
        <v/>
      </c>
      <c r="AF32" s="14">
        <f>IF($B32="","",IF($D32=CashLabel,"",SUMIFS($AE$5:$AE$204,$B$5:$B$204,$B32,$D$5:$D$204,"&lt;&gt;"&amp;CashLabel)/ConcDenomStr))</f>
        <v/>
      </c>
      <c r="AG32" s="14">
        <f>IF($B32="","",IF($D32=CashLabel,"",SUMIFS($AE$5:$AE$204,$E$5:$E$204,$E32,$D$5:$D$204,"&lt;&gt;"&amp;CashLabel)/ConcDenomStr))</f>
        <v/>
      </c>
      <c r="AH32" s="14">
        <f>IF($B32="","",IF($D32=CashLabel,"",SUMIFS($AE$5:$AE$204,$F$5:$F$204,$F32,$D$5:$D$204,"&lt;&gt;"&amp;CashLabel)/ConcDenomStr))</f>
        <v/>
      </c>
      <c r="AI32" s="14">
        <f>IF($B32="","",IF($D32=CashLabel,"",SUMIFS($AE$5:$AE$204,$D$5:$D$204,$D32,$D$5:$D$204,"&lt;&gt;"&amp;CashLabel)/ConcDenomStr))</f>
        <v/>
      </c>
      <c r="AJ32" s="15">
        <f>IF($B32="","",IF($D32=CashLabel,1,MIN(IF($AF32&gt;ThrSingle,ThrSingle/$AF32,1),IF($AG32&gt;ThrIssuer,ThrIssuer/$AG32,1),IF($AH32&gt;IFERROR(VLOOKUP($F32,CountryThr,2,FALSE),DefThrCountry),IFERROR(VLOOKUP($F32,CountryThr,2,FALSE),DefThrCountry)/$AH32,1),IF($AI32&gt;IFERROR(VLOOKUP($D32,LVTable,3,FALSE),DefThrAsset),IFERROR(VLOOKUP($D32,LVTable,3,FALSE),DefThrAsset)/$AI32,1))))</f>
        <v/>
      </c>
      <c r="AK32" s="33">
        <f>IF($B32="","",$AE32*$AJ32)</f>
        <v/>
      </c>
    </row>
    <row r="33">
      <c r="A33" s="16">
        <f>IF($B33="","",ROW()-4)</f>
        <v/>
      </c>
      <c r="B33" s="20" t="n"/>
      <c r="C33" s="20" t="n"/>
      <c r="D33" s="20" t="n"/>
      <c r="E33" s="20" t="n"/>
      <c r="F33" s="20" t="n"/>
      <c r="G33" s="20" t="n"/>
      <c r="H33" s="30" t="n"/>
      <c r="I33" s="30" t="n"/>
      <c r="J33" s="30" t="n"/>
      <c r="K33" s="31">
        <f>IF($B33="","",IF(ISNUMBER($J33),$J33,$I33))</f>
        <v/>
      </c>
      <c r="L33" s="32">
        <f>IF($B33="","",IFERROR(VLOOKUP($G33,FXRates,4,FALSE),1))</f>
        <v/>
      </c>
      <c r="M33" s="33">
        <f>IF($B33="","",$H33*$K33*$L33)</f>
        <v/>
      </c>
      <c r="N33" s="21" t="n"/>
      <c r="O33" s="14">
        <f>IF($B33="","",IF($D33=CashLabel,IF(ISNUMBER($N33),$N33,1),MIN(IF(ISNUMBER($N33),$N33,IFERROR(VLOOKUP($D33,LVTable,2,FALSE),0)),LVCap)))</f>
        <v/>
      </c>
      <c r="P33" s="25">
        <f>IF($B33="","",$M33*$O33)</f>
        <v/>
      </c>
      <c r="Q33" s="16">
        <f>IF($B33="","",IFERROR(VLOOKUP($G33,FXRates,5,FALSE),$G33))</f>
        <v/>
      </c>
      <c r="R33" s="14">
        <f>IF($B33="","",IF($D33=CashLabel,"",SUMIFS($P$5:$P$204,$B$5:$B$204,$B33,$D$5:$D$204,"&lt;&gt;"&amp;CashLabel)/ConcDenom))</f>
        <v/>
      </c>
      <c r="S33" s="14">
        <f>IF($B33="","",IF($D33=CashLabel,"",SUMIFS($P$5:$P$204,$E$5:$E$204,$E33,$D$5:$D$204,"&lt;&gt;"&amp;CashLabel)/ConcDenom))</f>
        <v/>
      </c>
      <c r="T33" s="14">
        <f>IF($B33="","",IF($D33=CashLabel,"",SUMIFS($P$5:$P$204,$F$5:$F$204,$F33,$D$5:$D$204,"&lt;&gt;"&amp;CashLabel)/ConcDenom))</f>
        <v/>
      </c>
      <c r="U33" s="14">
        <f>IF($B33="","",IF($D33=CashLabel,"",SUMIFS($P$5:$P$204,$D$5:$D$204,$D33,$D$5:$D$204,"&lt;&gt;"&amp;CashLabel)/ConcDenom))</f>
        <v/>
      </c>
      <c r="V33" s="15">
        <f>IF($B33="","",IF($D33=CashLabel,1,IF($R33&gt;ThrSingle,ThrSingle/$R33,1)))</f>
        <v/>
      </c>
      <c r="W33" s="15">
        <f>IF($B33="","",IF($D33=CashLabel,1,IF($S33&gt;ThrIssuer,ThrIssuer/$S33,1)))</f>
        <v/>
      </c>
      <c r="X33" s="15">
        <f>IF($B33="","",IF($D33=CashLabel,1,IF($T33&gt;IFERROR(VLOOKUP($F33,CountryThr,2,FALSE),DefThrCountry),IFERROR(VLOOKUP($F33,CountryThr,2,FALSE),DefThrCountry)/$T33,1)))</f>
        <v/>
      </c>
      <c r="Y33" s="15">
        <f>IF($B33="","",IF($D33=CashLabel,1,IF($U33&gt;IFERROR(VLOOKUP($D33,LVTable,3,FALSE),DefThrAsset),IFERROR(VLOOKUP($D33,LVTable,3,FALSE),DefThrAsset)/$U33,1)))</f>
        <v/>
      </c>
      <c r="Z33" s="34">
        <f>IF($B33="","",IF($D33=CashLabel,1,MIN($V33:$Y33)))</f>
        <v/>
      </c>
      <c r="AA33" s="25">
        <f>IF($B33="","",$P33*$Z33)</f>
        <v/>
      </c>
      <c r="AB33" s="33">
        <f>IF($B33="","",$P33-$AA33)</f>
        <v/>
      </c>
      <c r="AC33" s="21" t="n"/>
      <c r="AD33" s="33">
        <f>IF($B33="","",$M33*(1+IF(ISNUMBER($AC33),$AC33,0)))</f>
        <v/>
      </c>
      <c r="AE33" s="33">
        <f>IF($B33="","",$AD33*$O33)</f>
        <v/>
      </c>
      <c r="AF33" s="14">
        <f>IF($B33="","",IF($D33=CashLabel,"",SUMIFS($AE$5:$AE$204,$B$5:$B$204,$B33,$D$5:$D$204,"&lt;&gt;"&amp;CashLabel)/ConcDenomStr))</f>
        <v/>
      </c>
      <c r="AG33" s="14">
        <f>IF($B33="","",IF($D33=CashLabel,"",SUMIFS($AE$5:$AE$204,$E$5:$E$204,$E33,$D$5:$D$204,"&lt;&gt;"&amp;CashLabel)/ConcDenomStr))</f>
        <v/>
      </c>
      <c r="AH33" s="14">
        <f>IF($B33="","",IF($D33=CashLabel,"",SUMIFS($AE$5:$AE$204,$F$5:$F$204,$F33,$D$5:$D$204,"&lt;&gt;"&amp;CashLabel)/ConcDenomStr))</f>
        <v/>
      </c>
      <c r="AI33" s="14">
        <f>IF($B33="","",IF($D33=CashLabel,"",SUMIFS($AE$5:$AE$204,$D$5:$D$204,$D33,$D$5:$D$204,"&lt;&gt;"&amp;CashLabel)/ConcDenomStr))</f>
        <v/>
      </c>
      <c r="AJ33" s="15">
        <f>IF($B33="","",IF($D33=CashLabel,1,MIN(IF($AF33&gt;ThrSingle,ThrSingle/$AF33,1),IF($AG33&gt;ThrIssuer,ThrIssuer/$AG33,1),IF($AH33&gt;IFERROR(VLOOKUP($F33,CountryThr,2,FALSE),DefThrCountry),IFERROR(VLOOKUP($F33,CountryThr,2,FALSE),DefThrCountry)/$AH33,1),IF($AI33&gt;IFERROR(VLOOKUP($D33,LVTable,3,FALSE),DefThrAsset),IFERROR(VLOOKUP($D33,LVTable,3,FALSE),DefThrAsset)/$AI33,1))))</f>
        <v/>
      </c>
      <c r="AK33" s="33">
        <f>IF($B33="","",$AE33*$AJ33)</f>
        <v/>
      </c>
    </row>
    <row r="34">
      <c r="A34" s="16">
        <f>IF($B34="","",ROW()-4)</f>
        <v/>
      </c>
      <c r="B34" s="20" t="n"/>
      <c r="C34" s="20" t="n"/>
      <c r="D34" s="20" t="n"/>
      <c r="E34" s="20" t="n"/>
      <c r="F34" s="20" t="n"/>
      <c r="G34" s="20" t="n"/>
      <c r="H34" s="30" t="n"/>
      <c r="I34" s="30" t="n"/>
      <c r="J34" s="30" t="n"/>
      <c r="K34" s="31">
        <f>IF($B34="","",IF(ISNUMBER($J34),$J34,$I34))</f>
        <v/>
      </c>
      <c r="L34" s="32">
        <f>IF($B34="","",IFERROR(VLOOKUP($G34,FXRates,4,FALSE),1))</f>
        <v/>
      </c>
      <c r="M34" s="33">
        <f>IF($B34="","",$H34*$K34*$L34)</f>
        <v/>
      </c>
      <c r="N34" s="21" t="n"/>
      <c r="O34" s="14">
        <f>IF($B34="","",IF($D34=CashLabel,IF(ISNUMBER($N34),$N34,1),MIN(IF(ISNUMBER($N34),$N34,IFERROR(VLOOKUP($D34,LVTable,2,FALSE),0)),LVCap)))</f>
        <v/>
      </c>
      <c r="P34" s="25">
        <f>IF($B34="","",$M34*$O34)</f>
        <v/>
      </c>
      <c r="Q34" s="16">
        <f>IF($B34="","",IFERROR(VLOOKUP($G34,FXRates,5,FALSE),$G34))</f>
        <v/>
      </c>
      <c r="R34" s="14">
        <f>IF($B34="","",IF($D34=CashLabel,"",SUMIFS($P$5:$P$204,$B$5:$B$204,$B34,$D$5:$D$204,"&lt;&gt;"&amp;CashLabel)/ConcDenom))</f>
        <v/>
      </c>
      <c r="S34" s="14">
        <f>IF($B34="","",IF($D34=CashLabel,"",SUMIFS($P$5:$P$204,$E$5:$E$204,$E34,$D$5:$D$204,"&lt;&gt;"&amp;CashLabel)/ConcDenom))</f>
        <v/>
      </c>
      <c r="T34" s="14">
        <f>IF($B34="","",IF($D34=CashLabel,"",SUMIFS($P$5:$P$204,$F$5:$F$204,$F34,$D$5:$D$204,"&lt;&gt;"&amp;CashLabel)/ConcDenom))</f>
        <v/>
      </c>
      <c r="U34" s="14">
        <f>IF($B34="","",IF($D34=CashLabel,"",SUMIFS($P$5:$P$204,$D$5:$D$204,$D34,$D$5:$D$204,"&lt;&gt;"&amp;CashLabel)/ConcDenom))</f>
        <v/>
      </c>
      <c r="V34" s="15">
        <f>IF($B34="","",IF($D34=CashLabel,1,IF($R34&gt;ThrSingle,ThrSingle/$R34,1)))</f>
        <v/>
      </c>
      <c r="W34" s="15">
        <f>IF($B34="","",IF($D34=CashLabel,1,IF($S34&gt;ThrIssuer,ThrIssuer/$S34,1)))</f>
        <v/>
      </c>
      <c r="X34" s="15">
        <f>IF($B34="","",IF($D34=CashLabel,1,IF($T34&gt;IFERROR(VLOOKUP($F34,CountryThr,2,FALSE),DefThrCountry),IFERROR(VLOOKUP($F34,CountryThr,2,FALSE),DefThrCountry)/$T34,1)))</f>
        <v/>
      </c>
      <c r="Y34" s="15">
        <f>IF($B34="","",IF($D34=CashLabel,1,IF($U34&gt;IFERROR(VLOOKUP($D34,LVTable,3,FALSE),DefThrAsset),IFERROR(VLOOKUP($D34,LVTable,3,FALSE),DefThrAsset)/$U34,1)))</f>
        <v/>
      </c>
      <c r="Z34" s="34">
        <f>IF($B34="","",IF($D34=CashLabel,1,MIN($V34:$Y34)))</f>
        <v/>
      </c>
      <c r="AA34" s="25">
        <f>IF($B34="","",$P34*$Z34)</f>
        <v/>
      </c>
      <c r="AB34" s="33">
        <f>IF($B34="","",$P34-$AA34)</f>
        <v/>
      </c>
      <c r="AC34" s="21" t="n"/>
      <c r="AD34" s="33">
        <f>IF($B34="","",$M34*(1+IF(ISNUMBER($AC34),$AC34,0)))</f>
        <v/>
      </c>
      <c r="AE34" s="33">
        <f>IF($B34="","",$AD34*$O34)</f>
        <v/>
      </c>
      <c r="AF34" s="14">
        <f>IF($B34="","",IF($D34=CashLabel,"",SUMIFS($AE$5:$AE$204,$B$5:$B$204,$B34,$D$5:$D$204,"&lt;&gt;"&amp;CashLabel)/ConcDenomStr))</f>
        <v/>
      </c>
      <c r="AG34" s="14">
        <f>IF($B34="","",IF($D34=CashLabel,"",SUMIFS($AE$5:$AE$204,$E$5:$E$204,$E34,$D$5:$D$204,"&lt;&gt;"&amp;CashLabel)/ConcDenomStr))</f>
        <v/>
      </c>
      <c r="AH34" s="14">
        <f>IF($B34="","",IF($D34=CashLabel,"",SUMIFS($AE$5:$AE$204,$F$5:$F$204,$F34,$D$5:$D$204,"&lt;&gt;"&amp;CashLabel)/ConcDenomStr))</f>
        <v/>
      </c>
      <c r="AI34" s="14">
        <f>IF($B34="","",IF($D34=CashLabel,"",SUMIFS($AE$5:$AE$204,$D$5:$D$204,$D34,$D$5:$D$204,"&lt;&gt;"&amp;CashLabel)/ConcDenomStr))</f>
        <v/>
      </c>
      <c r="AJ34" s="15">
        <f>IF($B34="","",IF($D34=CashLabel,1,MIN(IF($AF34&gt;ThrSingle,ThrSingle/$AF34,1),IF($AG34&gt;ThrIssuer,ThrIssuer/$AG34,1),IF($AH34&gt;IFERROR(VLOOKUP($F34,CountryThr,2,FALSE),DefThrCountry),IFERROR(VLOOKUP($F34,CountryThr,2,FALSE),DefThrCountry)/$AH34,1),IF($AI34&gt;IFERROR(VLOOKUP($D34,LVTable,3,FALSE),DefThrAsset),IFERROR(VLOOKUP($D34,LVTable,3,FALSE),DefThrAsset)/$AI34,1))))</f>
        <v/>
      </c>
      <c r="AK34" s="33">
        <f>IF($B34="","",$AE34*$AJ34)</f>
        <v/>
      </c>
    </row>
    <row r="35">
      <c r="A35" s="16">
        <f>IF($B35="","",ROW()-4)</f>
        <v/>
      </c>
      <c r="B35" s="20" t="n"/>
      <c r="C35" s="20" t="n"/>
      <c r="D35" s="20" t="n"/>
      <c r="E35" s="20" t="n"/>
      <c r="F35" s="20" t="n"/>
      <c r="G35" s="20" t="n"/>
      <c r="H35" s="30" t="n"/>
      <c r="I35" s="30" t="n"/>
      <c r="J35" s="30" t="n"/>
      <c r="K35" s="31">
        <f>IF($B35="","",IF(ISNUMBER($J35),$J35,$I35))</f>
        <v/>
      </c>
      <c r="L35" s="32">
        <f>IF($B35="","",IFERROR(VLOOKUP($G35,FXRates,4,FALSE),1))</f>
        <v/>
      </c>
      <c r="M35" s="33">
        <f>IF($B35="","",$H35*$K35*$L35)</f>
        <v/>
      </c>
      <c r="N35" s="21" t="n"/>
      <c r="O35" s="14">
        <f>IF($B35="","",IF($D35=CashLabel,IF(ISNUMBER($N35),$N35,1),MIN(IF(ISNUMBER($N35),$N35,IFERROR(VLOOKUP($D35,LVTable,2,FALSE),0)),LVCap)))</f>
        <v/>
      </c>
      <c r="P35" s="25">
        <f>IF($B35="","",$M35*$O35)</f>
        <v/>
      </c>
      <c r="Q35" s="16">
        <f>IF($B35="","",IFERROR(VLOOKUP($G35,FXRates,5,FALSE),$G35))</f>
        <v/>
      </c>
      <c r="R35" s="14">
        <f>IF($B35="","",IF($D35=CashLabel,"",SUMIFS($P$5:$P$204,$B$5:$B$204,$B35,$D$5:$D$204,"&lt;&gt;"&amp;CashLabel)/ConcDenom))</f>
        <v/>
      </c>
      <c r="S35" s="14">
        <f>IF($B35="","",IF($D35=CashLabel,"",SUMIFS($P$5:$P$204,$E$5:$E$204,$E35,$D$5:$D$204,"&lt;&gt;"&amp;CashLabel)/ConcDenom))</f>
        <v/>
      </c>
      <c r="T35" s="14">
        <f>IF($B35="","",IF($D35=CashLabel,"",SUMIFS($P$5:$P$204,$F$5:$F$204,$F35,$D$5:$D$204,"&lt;&gt;"&amp;CashLabel)/ConcDenom))</f>
        <v/>
      </c>
      <c r="U35" s="14">
        <f>IF($B35="","",IF($D35=CashLabel,"",SUMIFS($P$5:$P$204,$D$5:$D$204,$D35,$D$5:$D$204,"&lt;&gt;"&amp;CashLabel)/ConcDenom))</f>
        <v/>
      </c>
      <c r="V35" s="15">
        <f>IF($B35="","",IF($D35=CashLabel,1,IF($R35&gt;ThrSingle,ThrSingle/$R35,1)))</f>
        <v/>
      </c>
      <c r="W35" s="15">
        <f>IF($B35="","",IF($D35=CashLabel,1,IF($S35&gt;ThrIssuer,ThrIssuer/$S35,1)))</f>
        <v/>
      </c>
      <c r="X35" s="15">
        <f>IF($B35="","",IF($D35=CashLabel,1,IF($T35&gt;IFERROR(VLOOKUP($F35,CountryThr,2,FALSE),DefThrCountry),IFERROR(VLOOKUP($F35,CountryThr,2,FALSE),DefThrCountry)/$T35,1)))</f>
        <v/>
      </c>
      <c r="Y35" s="15">
        <f>IF($B35="","",IF($D35=CashLabel,1,IF($U35&gt;IFERROR(VLOOKUP($D35,LVTable,3,FALSE),DefThrAsset),IFERROR(VLOOKUP($D35,LVTable,3,FALSE),DefThrAsset)/$U35,1)))</f>
        <v/>
      </c>
      <c r="Z35" s="34">
        <f>IF($B35="","",IF($D35=CashLabel,1,MIN($V35:$Y35)))</f>
        <v/>
      </c>
      <c r="AA35" s="25">
        <f>IF($B35="","",$P35*$Z35)</f>
        <v/>
      </c>
      <c r="AB35" s="33">
        <f>IF($B35="","",$P35-$AA35)</f>
        <v/>
      </c>
      <c r="AC35" s="21" t="n"/>
      <c r="AD35" s="33">
        <f>IF($B35="","",$M35*(1+IF(ISNUMBER($AC35),$AC35,0)))</f>
        <v/>
      </c>
      <c r="AE35" s="33">
        <f>IF($B35="","",$AD35*$O35)</f>
        <v/>
      </c>
      <c r="AF35" s="14">
        <f>IF($B35="","",IF($D35=CashLabel,"",SUMIFS($AE$5:$AE$204,$B$5:$B$204,$B35,$D$5:$D$204,"&lt;&gt;"&amp;CashLabel)/ConcDenomStr))</f>
        <v/>
      </c>
      <c r="AG35" s="14">
        <f>IF($B35="","",IF($D35=CashLabel,"",SUMIFS($AE$5:$AE$204,$E$5:$E$204,$E35,$D$5:$D$204,"&lt;&gt;"&amp;CashLabel)/ConcDenomStr))</f>
        <v/>
      </c>
      <c r="AH35" s="14">
        <f>IF($B35="","",IF($D35=CashLabel,"",SUMIFS($AE$5:$AE$204,$F$5:$F$204,$F35,$D$5:$D$204,"&lt;&gt;"&amp;CashLabel)/ConcDenomStr))</f>
        <v/>
      </c>
      <c r="AI35" s="14">
        <f>IF($B35="","",IF($D35=CashLabel,"",SUMIFS($AE$5:$AE$204,$D$5:$D$204,$D35,$D$5:$D$204,"&lt;&gt;"&amp;CashLabel)/ConcDenomStr))</f>
        <v/>
      </c>
      <c r="AJ35" s="15">
        <f>IF($B35="","",IF($D35=CashLabel,1,MIN(IF($AF35&gt;ThrSingle,ThrSingle/$AF35,1),IF($AG35&gt;ThrIssuer,ThrIssuer/$AG35,1),IF($AH35&gt;IFERROR(VLOOKUP($F35,CountryThr,2,FALSE),DefThrCountry),IFERROR(VLOOKUP($F35,CountryThr,2,FALSE),DefThrCountry)/$AH35,1),IF($AI35&gt;IFERROR(VLOOKUP($D35,LVTable,3,FALSE),DefThrAsset),IFERROR(VLOOKUP($D35,LVTable,3,FALSE),DefThrAsset)/$AI35,1))))</f>
        <v/>
      </c>
      <c r="AK35" s="33">
        <f>IF($B35="","",$AE35*$AJ35)</f>
        <v/>
      </c>
    </row>
    <row r="36">
      <c r="A36" s="16">
        <f>IF($B36="","",ROW()-4)</f>
        <v/>
      </c>
      <c r="B36" s="20" t="n"/>
      <c r="C36" s="20" t="n"/>
      <c r="D36" s="20" t="n"/>
      <c r="E36" s="20" t="n"/>
      <c r="F36" s="20" t="n"/>
      <c r="G36" s="20" t="n"/>
      <c r="H36" s="30" t="n"/>
      <c r="I36" s="30" t="n"/>
      <c r="J36" s="30" t="n"/>
      <c r="K36" s="31">
        <f>IF($B36="","",IF(ISNUMBER($J36),$J36,$I36))</f>
        <v/>
      </c>
      <c r="L36" s="32">
        <f>IF($B36="","",IFERROR(VLOOKUP($G36,FXRates,4,FALSE),1))</f>
        <v/>
      </c>
      <c r="M36" s="33">
        <f>IF($B36="","",$H36*$K36*$L36)</f>
        <v/>
      </c>
      <c r="N36" s="21" t="n"/>
      <c r="O36" s="14">
        <f>IF($B36="","",IF($D36=CashLabel,IF(ISNUMBER($N36),$N36,1),MIN(IF(ISNUMBER($N36),$N36,IFERROR(VLOOKUP($D36,LVTable,2,FALSE),0)),LVCap)))</f>
        <v/>
      </c>
      <c r="P36" s="25">
        <f>IF($B36="","",$M36*$O36)</f>
        <v/>
      </c>
      <c r="Q36" s="16">
        <f>IF($B36="","",IFERROR(VLOOKUP($G36,FXRates,5,FALSE),$G36))</f>
        <v/>
      </c>
      <c r="R36" s="14">
        <f>IF($B36="","",IF($D36=CashLabel,"",SUMIFS($P$5:$P$204,$B$5:$B$204,$B36,$D$5:$D$204,"&lt;&gt;"&amp;CashLabel)/ConcDenom))</f>
        <v/>
      </c>
      <c r="S36" s="14">
        <f>IF($B36="","",IF($D36=CashLabel,"",SUMIFS($P$5:$P$204,$E$5:$E$204,$E36,$D$5:$D$204,"&lt;&gt;"&amp;CashLabel)/ConcDenom))</f>
        <v/>
      </c>
      <c r="T36" s="14">
        <f>IF($B36="","",IF($D36=CashLabel,"",SUMIFS($P$5:$P$204,$F$5:$F$204,$F36,$D$5:$D$204,"&lt;&gt;"&amp;CashLabel)/ConcDenom))</f>
        <v/>
      </c>
      <c r="U36" s="14">
        <f>IF($B36="","",IF($D36=CashLabel,"",SUMIFS($P$5:$P$204,$D$5:$D$204,$D36,$D$5:$D$204,"&lt;&gt;"&amp;CashLabel)/ConcDenom))</f>
        <v/>
      </c>
      <c r="V36" s="15">
        <f>IF($B36="","",IF($D36=CashLabel,1,IF($R36&gt;ThrSingle,ThrSingle/$R36,1)))</f>
        <v/>
      </c>
      <c r="W36" s="15">
        <f>IF($B36="","",IF($D36=CashLabel,1,IF($S36&gt;ThrIssuer,ThrIssuer/$S36,1)))</f>
        <v/>
      </c>
      <c r="X36" s="15">
        <f>IF($B36="","",IF($D36=CashLabel,1,IF($T36&gt;IFERROR(VLOOKUP($F36,CountryThr,2,FALSE),DefThrCountry),IFERROR(VLOOKUP($F36,CountryThr,2,FALSE),DefThrCountry)/$T36,1)))</f>
        <v/>
      </c>
      <c r="Y36" s="15">
        <f>IF($B36="","",IF($D36=CashLabel,1,IF($U36&gt;IFERROR(VLOOKUP($D36,LVTable,3,FALSE),DefThrAsset),IFERROR(VLOOKUP($D36,LVTable,3,FALSE),DefThrAsset)/$U36,1)))</f>
        <v/>
      </c>
      <c r="Z36" s="34">
        <f>IF($B36="","",IF($D36=CashLabel,1,MIN($V36:$Y36)))</f>
        <v/>
      </c>
      <c r="AA36" s="25">
        <f>IF($B36="","",$P36*$Z36)</f>
        <v/>
      </c>
      <c r="AB36" s="33">
        <f>IF($B36="","",$P36-$AA36)</f>
        <v/>
      </c>
      <c r="AC36" s="21" t="n"/>
      <c r="AD36" s="33">
        <f>IF($B36="","",$M36*(1+IF(ISNUMBER($AC36),$AC36,0)))</f>
        <v/>
      </c>
      <c r="AE36" s="33">
        <f>IF($B36="","",$AD36*$O36)</f>
        <v/>
      </c>
      <c r="AF36" s="14">
        <f>IF($B36="","",IF($D36=CashLabel,"",SUMIFS($AE$5:$AE$204,$B$5:$B$204,$B36,$D$5:$D$204,"&lt;&gt;"&amp;CashLabel)/ConcDenomStr))</f>
        <v/>
      </c>
      <c r="AG36" s="14">
        <f>IF($B36="","",IF($D36=CashLabel,"",SUMIFS($AE$5:$AE$204,$E$5:$E$204,$E36,$D$5:$D$204,"&lt;&gt;"&amp;CashLabel)/ConcDenomStr))</f>
        <v/>
      </c>
      <c r="AH36" s="14">
        <f>IF($B36="","",IF($D36=CashLabel,"",SUMIFS($AE$5:$AE$204,$F$5:$F$204,$F36,$D$5:$D$204,"&lt;&gt;"&amp;CashLabel)/ConcDenomStr))</f>
        <v/>
      </c>
      <c r="AI36" s="14">
        <f>IF($B36="","",IF($D36=CashLabel,"",SUMIFS($AE$5:$AE$204,$D$5:$D$204,$D36,$D$5:$D$204,"&lt;&gt;"&amp;CashLabel)/ConcDenomStr))</f>
        <v/>
      </c>
      <c r="AJ36" s="15">
        <f>IF($B36="","",IF($D36=CashLabel,1,MIN(IF($AF36&gt;ThrSingle,ThrSingle/$AF36,1),IF($AG36&gt;ThrIssuer,ThrIssuer/$AG36,1),IF($AH36&gt;IFERROR(VLOOKUP($F36,CountryThr,2,FALSE),DefThrCountry),IFERROR(VLOOKUP($F36,CountryThr,2,FALSE),DefThrCountry)/$AH36,1),IF($AI36&gt;IFERROR(VLOOKUP($D36,LVTable,3,FALSE),DefThrAsset),IFERROR(VLOOKUP($D36,LVTable,3,FALSE),DefThrAsset)/$AI36,1))))</f>
        <v/>
      </c>
      <c r="AK36" s="33">
        <f>IF($B36="","",$AE36*$AJ36)</f>
        <v/>
      </c>
    </row>
    <row r="37">
      <c r="A37" s="16">
        <f>IF($B37="","",ROW()-4)</f>
        <v/>
      </c>
      <c r="B37" s="20" t="n"/>
      <c r="C37" s="20" t="n"/>
      <c r="D37" s="20" t="n"/>
      <c r="E37" s="20" t="n"/>
      <c r="F37" s="20" t="n"/>
      <c r="G37" s="20" t="n"/>
      <c r="H37" s="30" t="n"/>
      <c r="I37" s="30" t="n"/>
      <c r="J37" s="30" t="n"/>
      <c r="K37" s="31">
        <f>IF($B37="","",IF(ISNUMBER($J37),$J37,$I37))</f>
        <v/>
      </c>
      <c r="L37" s="32">
        <f>IF($B37="","",IFERROR(VLOOKUP($G37,FXRates,4,FALSE),1))</f>
        <v/>
      </c>
      <c r="M37" s="33">
        <f>IF($B37="","",$H37*$K37*$L37)</f>
        <v/>
      </c>
      <c r="N37" s="21" t="n"/>
      <c r="O37" s="14">
        <f>IF($B37="","",IF($D37=CashLabel,IF(ISNUMBER($N37),$N37,1),MIN(IF(ISNUMBER($N37),$N37,IFERROR(VLOOKUP($D37,LVTable,2,FALSE),0)),LVCap)))</f>
        <v/>
      </c>
      <c r="P37" s="25">
        <f>IF($B37="","",$M37*$O37)</f>
        <v/>
      </c>
      <c r="Q37" s="16">
        <f>IF($B37="","",IFERROR(VLOOKUP($G37,FXRates,5,FALSE),$G37))</f>
        <v/>
      </c>
      <c r="R37" s="14">
        <f>IF($B37="","",IF($D37=CashLabel,"",SUMIFS($P$5:$P$204,$B$5:$B$204,$B37,$D$5:$D$204,"&lt;&gt;"&amp;CashLabel)/ConcDenom))</f>
        <v/>
      </c>
      <c r="S37" s="14">
        <f>IF($B37="","",IF($D37=CashLabel,"",SUMIFS($P$5:$P$204,$E$5:$E$204,$E37,$D$5:$D$204,"&lt;&gt;"&amp;CashLabel)/ConcDenom))</f>
        <v/>
      </c>
      <c r="T37" s="14">
        <f>IF($B37="","",IF($D37=CashLabel,"",SUMIFS($P$5:$P$204,$F$5:$F$204,$F37,$D$5:$D$204,"&lt;&gt;"&amp;CashLabel)/ConcDenom))</f>
        <v/>
      </c>
      <c r="U37" s="14">
        <f>IF($B37="","",IF($D37=CashLabel,"",SUMIFS($P$5:$P$204,$D$5:$D$204,$D37,$D$5:$D$204,"&lt;&gt;"&amp;CashLabel)/ConcDenom))</f>
        <v/>
      </c>
      <c r="V37" s="15">
        <f>IF($B37="","",IF($D37=CashLabel,1,IF($R37&gt;ThrSingle,ThrSingle/$R37,1)))</f>
        <v/>
      </c>
      <c r="W37" s="15">
        <f>IF($B37="","",IF($D37=CashLabel,1,IF($S37&gt;ThrIssuer,ThrIssuer/$S37,1)))</f>
        <v/>
      </c>
      <c r="X37" s="15">
        <f>IF($B37="","",IF($D37=CashLabel,1,IF($T37&gt;IFERROR(VLOOKUP($F37,CountryThr,2,FALSE),DefThrCountry),IFERROR(VLOOKUP($F37,CountryThr,2,FALSE),DefThrCountry)/$T37,1)))</f>
        <v/>
      </c>
      <c r="Y37" s="15">
        <f>IF($B37="","",IF($D37=CashLabel,1,IF($U37&gt;IFERROR(VLOOKUP($D37,LVTable,3,FALSE),DefThrAsset),IFERROR(VLOOKUP($D37,LVTable,3,FALSE),DefThrAsset)/$U37,1)))</f>
        <v/>
      </c>
      <c r="Z37" s="34">
        <f>IF($B37="","",IF($D37=CashLabel,1,MIN($V37:$Y37)))</f>
        <v/>
      </c>
      <c r="AA37" s="25">
        <f>IF($B37="","",$P37*$Z37)</f>
        <v/>
      </c>
      <c r="AB37" s="33">
        <f>IF($B37="","",$P37-$AA37)</f>
        <v/>
      </c>
      <c r="AC37" s="21" t="n"/>
      <c r="AD37" s="33">
        <f>IF($B37="","",$M37*(1+IF(ISNUMBER($AC37),$AC37,0)))</f>
        <v/>
      </c>
      <c r="AE37" s="33">
        <f>IF($B37="","",$AD37*$O37)</f>
        <v/>
      </c>
      <c r="AF37" s="14">
        <f>IF($B37="","",IF($D37=CashLabel,"",SUMIFS($AE$5:$AE$204,$B$5:$B$204,$B37,$D$5:$D$204,"&lt;&gt;"&amp;CashLabel)/ConcDenomStr))</f>
        <v/>
      </c>
      <c r="AG37" s="14">
        <f>IF($B37="","",IF($D37=CashLabel,"",SUMIFS($AE$5:$AE$204,$E$5:$E$204,$E37,$D$5:$D$204,"&lt;&gt;"&amp;CashLabel)/ConcDenomStr))</f>
        <v/>
      </c>
      <c r="AH37" s="14">
        <f>IF($B37="","",IF($D37=CashLabel,"",SUMIFS($AE$5:$AE$204,$F$5:$F$204,$F37,$D$5:$D$204,"&lt;&gt;"&amp;CashLabel)/ConcDenomStr))</f>
        <v/>
      </c>
      <c r="AI37" s="14">
        <f>IF($B37="","",IF($D37=CashLabel,"",SUMIFS($AE$5:$AE$204,$D$5:$D$204,$D37,$D$5:$D$204,"&lt;&gt;"&amp;CashLabel)/ConcDenomStr))</f>
        <v/>
      </c>
      <c r="AJ37" s="15">
        <f>IF($B37="","",IF($D37=CashLabel,1,MIN(IF($AF37&gt;ThrSingle,ThrSingle/$AF37,1),IF($AG37&gt;ThrIssuer,ThrIssuer/$AG37,1),IF($AH37&gt;IFERROR(VLOOKUP($F37,CountryThr,2,FALSE),DefThrCountry),IFERROR(VLOOKUP($F37,CountryThr,2,FALSE),DefThrCountry)/$AH37,1),IF($AI37&gt;IFERROR(VLOOKUP($D37,LVTable,3,FALSE),DefThrAsset),IFERROR(VLOOKUP($D37,LVTable,3,FALSE),DefThrAsset)/$AI37,1))))</f>
        <v/>
      </c>
      <c r="AK37" s="33">
        <f>IF($B37="","",$AE37*$AJ37)</f>
        <v/>
      </c>
    </row>
    <row r="38">
      <c r="A38" s="16">
        <f>IF($B38="","",ROW()-4)</f>
        <v/>
      </c>
      <c r="B38" s="20" t="n"/>
      <c r="C38" s="20" t="n"/>
      <c r="D38" s="20" t="n"/>
      <c r="E38" s="20" t="n"/>
      <c r="F38" s="20" t="n"/>
      <c r="G38" s="20" t="n"/>
      <c r="H38" s="30" t="n"/>
      <c r="I38" s="30" t="n"/>
      <c r="J38" s="30" t="n"/>
      <c r="K38" s="31">
        <f>IF($B38="","",IF(ISNUMBER($J38),$J38,$I38))</f>
        <v/>
      </c>
      <c r="L38" s="32">
        <f>IF($B38="","",IFERROR(VLOOKUP($G38,FXRates,4,FALSE),1))</f>
        <v/>
      </c>
      <c r="M38" s="33">
        <f>IF($B38="","",$H38*$K38*$L38)</f>
        <v/>
      </c>
      <c r="N38" s="21" t="n"/>
      <c r="O38" s="14">
        <f>IF($B38="","",IF($D38=CashLabel,IF(ISNUMBER($N38),$N38,1),MIN(IF(ISNUMBER($N38),$N38,IFERROR(VLOOKUP($D38,LVTable,2,FALSE),0)),LVCap)))</f>
        <v/>
      </c>
      <c r="P38" s="25">
        <f>IF($B38="","",$M38*$O38)</f>
        <v/>
      </c>
      <c r="Q38" s="16">
        <f>IF($B38="","",IFERROR(VLOOKUP($G38,FXRates,5,FALSE),$G38))</f>
        <v/>
      </c>
      <c r="R38" s="14">
        <f>IF($B38="","",IF($D38=CashLabel,"",SUMIFS($P$5:$P$204,$B$5:$B$204,$B38,$D$5:$D$204,"&lt;&gt;"&amp;CashLabel)/ConcDenom))</f>
        <v/>
      </c>
      <c r="S38" s="14">
        <f>IF($B38="","",IF($D38=CashLabel,"",SUMIFS($P$5:$P$204,$E$5:$E$204,$E38,$D$5:$D$204,"&lt;&gt;"&amp;CashLabel)/ConcDenom))</f>
        <v/>
      </c>
      <c r="T38" s="14">
        <f>IF($B38="","",IF($D38=CashLabel,"",SUMIFS($P$5:$P$204,$F$5:$F$204,$F38,$D$5:$D$204,"&lt;&gt;"&amp;CashLabel)/ConcDenom))</f>
        <v/>
      </c>
      <c r="U38" s="14">
        <f>IF($B38="","",IF($D38=CashLabel,"",SUMIFS($P$5:$P$204,$D$5:$D$204,$D38,$D$5:$D$204,"&lt;&gt;"&amp;CashLabel)/ConcDenom))</f>
        <v/>
      </c>
      <c r="V38" s="15">
        <f>IF($B38="","",IF($D38=CashLabel,1,IF($R38&gt;ThrSingle,ThrSingle/$R38,1)))</f>
        <v/>
      </c>
      <c r="W38" s="15">
        <f>IF($B38="","",IF($D38=CashLabel,1,IF($S38&gt;ThrIssuer,ThrIssuer/$S38,1)))</f>
        <v/>
      </c>
      <c r="X38" s="15">
        <f>IF($B38="","",IF($D38=CashLabel,1,IF($T38&gt;IFERROR(VLOOKUP($F38,CountryThr,2,FALSE),DefThrCountry),IFERROR(VLOOKUP($F38,CountryThr,2,FALSE),DefThrCountry)/$T38,1)))</f>
        <v/>
      </c>
      <c r="Y38" s="15">
        <f>IF($B38="","",IF($D38=CashLabel,1,IF($U38&gt;IFERROR(VLOOKUP($D38,LVTable,3,FALSE),DefThrAsset),IFERROR(VLOOKUP($D38,LVTable,3,FALSE),DefThrAsset)/$U38,1)))</f>
        <v/>
      </c>
      <c r="Z38" s="34">
        <f>IF($B38="","",IF($D38=CashLabel,1,MIN($V38:$Y38)))</f>
        <v/>
      </c>
      <c r="AA38" s="25">
        <f>IF($B38="","",$P38*$Z38)</f>
        <v/>
      </c>
      <c r="AB38" s="33">
        <f>IF($B38="","",$P38-$AA38)</f>
        <v/>
      </c>
      <c r="AC38" s="21" t="n"/>
      <c r="AD38" s="33">
        <f>IF($B38="","",$M38*(1+IF(ISNUMBER($AC38),$AC38,0)))</f>
        <v/>
      </c>
      <c r="AE38" s="33">
        <f>IF($B38="","",$AD38*$O38)</f>
        <v/>
      </c>
      <c r="AF38" s="14">
        <f>IF($B38="","",IF($D38=CashLabel,"",SUMIFS($AE$5:$AE$204,$B$5:$B$204,$B38,$D$5:$D$204,"&lt;&gt;"&amp;CashLabel)/ConcDenomStr))</f>
        <v/>
      </c>
      <c r="AG38" s="14">
        <f>IF($B38="","",IF($D38=CashLabel,"",SUMIFS($AE$5:$AE$204,$E$5:$E$204,$E38,$D$5:$D$204,"&lt;&gt;"&amp;CashLabel)/ConcDenomStr))</f>
        <v/>
      </c>
      <c r="AH38" s="14">
        <f>IF($B38="","",IF($D38=CashLabel,"",SUMIFS($AE$5:$AE$204,$F$5:$F$204,$F38,$D$5:$D$204,"&lt;&gt;"&amp;CashLabel)/ConcDenomStr))</f>
        <v/>
      </c>
      <c r="AI38" s="14">
        <f>IF($B38="","",IF($D38=CashLabel,"",SUMIFS($AE$5:$AE$204,$D$5:$D$204,$D38,$D$5:$D$204,"&lt;&gt;"&amp;CashLabel)/ConcDenomStr))</f>
        <v/>
      </c>
      <c r="AJ38" s="15">
        <f>IF($B38="","",IF($D38=CashLabel,1,MIN(IF($AF38&gt;ThrSingle,ThrSingle/$AF38,1),IF($AG38&gt;ThrIssuer,ThrIssuer/$AG38,1),IF($AH38&gt;IFERROR(VLOOKUP($F38,CountryThr,2,FALSE),DefThrCountry),IFERROR(VLOOKUP($F38,CountryThr,2,FALSE),DefThrCountry)/$AH38,1),IF($AI38&gt;IFERROR(VLOOKUP($D38,LVTable,3,FALSE),DefThrAsset),IFERROR(VLOOKUP($D38,LVTable,3,FALSE),DefThrAsset)/$AI38,1))))</f>
        <v/>
      </c>
      <c r="AK38" s="33">
        <f>IF($B38="","",$AE38*$AJ38)</f>
        <v/>
      </c>
    </row>
    <row r="39">
      <c r="A39" s="16">
        <f>IF($B39="","",ROW()-4)</f>
        <v/>
      </c>
      <c r="B39" s="20" t="n"/>
      <c r="C39" s="20" t="n"/>
      <c r="D39" s="20" t="n"/>
      <c r="E39" s="20" t="n"/>
      <c r="F39" s="20" t="n"/>
      <c r="G39" s="20" t="n"/>
      <c r="H39" s="30" t="n"/>
      <c r="I39" s="30" t="n"/>
      <c r="J39" s="30" t="n"/>
      <c r="K39" s="31">
        <f>IF($B39="","",IF(ISNUMBER($J39),$J39,$I39))</f>
        <v/>
      </c>
      <c r="L39" s="32">
        <f>IF($B39="","",IFERROR(VLOOKUP($G39,FXRates,4,FALSE),1))</f>
        <v/>
      </c>
      <c r="M39" s="33">
        <f>IF($B39="","",$H39*$K39*$L39)</f>
        <v/>
      </c>
      <c r="N39" s="21" t="n"/>
      <c r="O39" s="14">
        <f>IF($B39="","",IF($D39=CashLabel,IF(ISNUMBER($N39),$N39,1),MIN(IF(ISNUMBER($N39),$N39,IFERROR(VLOOKUP($D39,LVTable,2,FALSE),0)),LVCap)))</f>
        <v/>
      </c>
      <c r="P39" s="25">
        <f>IF($B39="","",$M39*$O39)</f>
        <v/>
      </c>
      <c r="Q39" s="16">
        <f>IF($B39="","",IFERROR(VLOOKUP($G39,FXRates,5,FALSE),$G39))</f>
        <v/>
      </c>
      <c r="R39" s="14">
        <f>IF($B39="","",IF($D39=CashLabel,"",SUMIFS($P$5:$P$204,$B$5:$B$204,$B39,$D$5:$D$204,"&lt;&gt;"&amp;CashLabel)/ConcDenom))</f>
        <v/>
      </c>
      <c r="S39" s="14">
        <f>IF($B39="","",IF($D39=CashLabel,"",SUMIFS($P$5:$P$204,$E$5:$E$204,$E39,$D$5:$D$204,"&lt;&gt;"&amp;CashLabel)/ConcDenom))</f>
        <v/>
      </c>
      <c r="T39" s="14">
        <f>IF($B39="","",IF($D39=CashLabel,"",SUMIFS($P$5:$P$204,$F$5:$F$204,$F39,$D$5:$D$204,"&lt;&gt;"&amp;CashLabel)/ConcDenom))</f>
        <v/>
      </c>
      <c r="U39" s="14">
        <f>IF($B39="","",IF($D39=CashLabel,"",SUMIFS($P$5:$P$204,$D$5:$D$204,$D39,$D$5:$D$204,"&lt;&gt;"&amp;CashLabel)/ConcDenom))</f>
        <v/>
      </c>
      <c r="V39" s="15">
        <f>IF($B39="","",IF($D39=CashLabel,1,IF($R39&gt;ThrSingle,ThrSingle/$R39,1)))</f>
        <v/>
      </c>
      <c r="W39" s="15">
        <f>IF($B39="","",IF($D39=CashLabel,1,IF($S39&gt;ThrIssuer,ThrIssuer/$S39,1)))</f>
        <v/>
      </c>
      <c r="X39" s="15">
        <f>IF($B39="","",IF($D39=CashLabel,1,IF($T39&gt;IFERROR(VLOOKUP($F39,CountryThr,2,FALSE),DefThrCountry),IFERROR(VLOOKUP($F39,CountryThr,2,FALSE),DefThrCountry)/$T39,1)))</f>
        <v/>
      </c>
      <c r="Y39" s="15">
        <f>IF($B39="","",IF($D39=CashLabel,1,IF($U39&gt;IFERROR(VLOOKUP($D39,LVTable,3,FALSE),DefThrAsset),IFERROR(VLOOKUP($D39,LVTable,3,FALSE),DefThrAsset)/$U39,1)))</f>
        <v/>
      </c>
      <c r="Z39" s="34">
        <f>IF($B39="","",IF($D39=CashLabel,1,MIN($V39:$Y39)))</f>
        <v/>
      </c>
      <c r="AA39" s="25">
        <f>IF($B39="","",$P39*$Z39)</f>
        <v/>
      </c>
      <c r="AB39" s="33">
        <f>IF($B39="","",$P39-$AA39)</f>
        <v/>
      </c>
      <c r="AC39" s="21" t="n"/>
      <c r="AD39" s="33">
        <f>IF($B39="","",$M39*(1+IF(ISNUMBER($AC39),$AC39,0)))</f>
        <v/>
      </c>
      <c r="AE39" s="33">
        <f>IF($B39="","",$AD39*$O39)</f>
        <v/>
      </c>
      <c r="AF39" s="14">
        <f>IF($B39="","",IF($D39=CashLabel,"",SUMIFS($AE$5:$AE$204,$B$5:$B$204,$B39,$D$5:$D$204,"&lt;&gt;"&amp;CashLabel)/ConcDenomStr))</f>
        <v/>
      </c>
      <c r="AG39" s="14">
        <f>IF($B39="","",IF($D39=CashLabel,"",SUMIFS($AE$5:$AE$204,$E$5:$E$204,$E39,$D$5:$D$204,"&lt;&gt;"&amp;CashLabel)/ConcDenomStr))</f>
        <v/>
      </c>
      <c r="AH39" s="14">
        <f>IF($B39="","",IF($D39=CashLabel,"",SUMIFS($AE$5:$AE$204,$F$5:$F$204,$F39,$D$5:$D$204,"&lt;&gt;"&amp;CashLabel)/ConcDenomStr))</f>
        <v/>
      </c>
      <c r="AI39" s="14">
        <f>IF($B39="","",IF($D39=CashLabel,"",SUMIFS($AE$5:$AE$204,$D$5:$D$204,$D39,$D$5:$D$204,"&lt;&gt;"&amp;CashLabel)/ConcDenomStr))</f>
        <v/>
      </c>
      <c r="AJ39" s="15">
        <f>IF($B39="","",IF($D39=CashLabel,1,MIN(IF($AF39&gt;ThrSingle,ThrSingle/$AF39,1),IF($AG39&gt;ThrIssuer,ThrIssuer/$AG39,1),IF($AH39&gt;IFERROR(VLOOKUP($F39,CountryThr,2,FALSE),DefThrCountry),IFERROR(VLOOKUP($F39,CountryThr,2,FALSE),DefThrCountry)/$AH39,1),IF($AI39&gt;IFERROR(VLOOKUP($D39,LVTable,3,FALSE),DefThrAsset),IFERROR(VLOOKUP($D39,LVTable,3,FALSE),DefThrAsset)/$AI39,1))))</f>
        <v/>
      </c>
      <c r="AK39" s="33">
        <f>IF($B39="","",$AE39*$AJ39)</f>
        <v/>
      </c>
    </row>
    <row r="40">
      <c r="A40" s="16">
        <f>IF($B40="","",ROW()-4)</f>
        <v/>
      </c>
      <c r="B40" s="20" t="n"/>
      <c r="C40" s="20" t="n"/>
      <c r="D40" s="20" t="n"/>
      <c r="E40" s="20" t="n"/>
      <c r="F40" s="20" t="n"/>
      <c r="G40" s="20" t="n"/>
      <c r="H40" s="30" t="n"/>
      <c r="I40" s="30" t="n"/>
      <c r="J40" s="30" t="n"/>
      <c r="K40" s="31">
        <f>IF($B40="","",IF(ISNUMBER($J40),$J40,$I40))</f>
        <v/>
      </c>
      <c r="L40" s="32">
        <f>IF($B40="","",IFERROR(VLOOKUP($G40,FXRates,4,FALSE),1))</f>
        <v/>
      </c>
      <c r="M40" s="33">
        <f>IF($B40="","",$H40*$K40*$L40)</f>
        <v/>
      </c>
      <c r="N40" s="21" t="n"/>
      <c r="O40" s="14">
        <f>IF($B40="","",IF($D40=CashLabel,IF(ISNUMBER($N40),$N40,1),MIN(IF(ISNUMBER($N40),$N40,IFERROR(VLOOKUP($D40,LVTable,2,FALSE),0)),LVCap)))</f>
        <v/>
      </c>
      <c r="P40" s="25">
        <f>IF($B40="","",$M40*$O40)</f>
        <v/>
      </c>
      <c r="Q40" s="16">
        <f>IF($B40="","",IFERROR(VLOOKUP($G40,FXRates,5,FALSE),$G40))</f>
        <v/>
      </c>
      <c r="R40" s="14">
        <f>IF($B40="","",IF($D40=CashLabel,"",SUMIFS($P$5:$P$204,$B$5:$B$204,$B40,$D$5:$D$204,"&lt;&gt;"&amp;CashLabel)/ConcDenom))</f>
        <v/>
      </c>
      <c r="S40" s="14">
        <f>IF($B40="","",IF($D40=CashLabel,"",SUMIFS($P$5:$P$204,$E$5:$E$204,$E40,$D$5:$D$204,"&lt;&gt;"&amp;CashLabel)/ConcDenom))</f>
        <v/>
      </c>
      <c r="T40" s="14">
        <f>IF($B40="","",IF($D40=CashLabel,"",SUMIFS($P$5:$P$204,$F$5:$F$204,$F40,$D$5:$D$204,"&lt;&gt;"&amp;CashLabel)/ConcDenom))</f>
        <v/>
      </c>
      <c r="U40" s="14">
        <f>IF($B40="","",IF($D40=CashLabel,"",SUMIFS($P$5:$P$204,$D$5:$D$204,$D40,$D$5:$D$204,"&lt;&gt;"&amp;CashLabel)/ConcDenom))</f>
        <v/>
      </c>
      <c r="V40" s="15">
        <f>IF($B40="","",IF($D40=CashLabel,1,IF($R40&gt;ThrSingle,ThrSingle/$R40,1)))</f>
        <v/>
      </c>
      <c r="W40" s="15">
        <f>IF($B40="","",IF($D40=CashLabel,1,IF($S40&gt;ThrIssuer,ThrIssuer/$S40,1)))</f>
        <v/>
      </c>
      <c r="X40" s="15">
        <f>IF($B40="","",IF($D40=CashLabel,1,IF($T40&gt;IFERROR(VLOOKUP($F40,CountryThr,2,FALSE),DefThrCountry),IFERROR(VLOOKUP($F40,CountryThr,2,FALSE),DefThrCountry)/$T40,1)))</f>
        <v/>
      </c>
      <c r="Y40" s="15">
        <f>IF($B40="","",IF($D40=CashLabel,1,IF($U40&gt;IFERROR(VLOOKUP($D40,LVTable,3,FALSE),DefThrAsset),IFERROR(VLOOKUP($D40,LVTable,3,FALSE),DefThrAsset)/$U40,1)))</f>
        <v/>
      </c>
      <c r="Z40" s="34">
        <f>IF($B40="","",IF($D40=CashLabel,1,MIN($V40:$Y40)))</f>
        <v/>
      </c>
      <c r="AA40" s="25">
        <f>IF($B40="","",$P40*$Z40)</f>
        <v/>
      </c>
      <c r="AB40" s="33">
        <f>IF($B40="","",$P40-$AA40)</f>
        <v/>
      </c>
      <c r="AC40" s="21" t="n"/>
      <c r="AD40" s="33">
        <f>IF($B40="","",$M40*(1+IF(ISNUMBER($AC40),$AC40,0)))</f>
        <v/>
      </c>
      <c r="AE40" s="33">
        <f>IF($B40="","",$AD40*$O40)</f>
        <v/>
      </c>
      <c r="AF40" s="14">
        <f>IF($B40="","",IF($D40=CashLabel,"",SUMIFS($AE$5:$AE$204,$B$5:$B$204,$B40,$D$5:$D$204,"&lt;&gt;"&amp;CashLabel)/ConcDenomStr))</f>
        <v/>
      </c>
      <c r="AG40" s="14">
        <f>IF($B40="","",IF($D40=CashLabel,"",SUMIFS($AE$5:$AE$204,$E$5:$E$204,$E40,$D$5:$D$204,"&lt;&gt;"&amp;CashLabel)/ConcDenomStr))</f>
        <v/>
      </c>
      <c r="AH40" s="14">
        <f>IF($B40="","",IF($D40=CashLabel,"",SUMIFS($AE$5:$AE$204,$F$5:$F$204,$F40,$D$5:$D$204,"&lt;&gt;"&amp;CashLabel)/ConcDenomStr))</f>
        <v/>
      </c>
      <c r="AI40" s="14">
        <f>IF($B40="","",IF($D40=CashLabel,"",SUMIFS($AE$5:$AE$204,$D$5:$D$204,$D40,$D$5:$D$204,"&lt;&gt;"&amp;CashLabel)/ConcDenomStr))</f>
        <v/>
      </c>
      <c r="AJ40" s="15">
        <f>IF($B40="","",IF($D40=CashLabel,1,MIN(IF($AF40&gt;ThrSingle,ThrSingle/$AF40,1),IF($AG40&gt;ThrIssuer,ThrIssuer/$AG40,1),IF($AH40&gt;IFERROR(VLOOKUP($F40,CountryThr,2,FALSE),DefThrCountry),IFERROR(VLOOKUP($F40,CountryThr,2,FALSE),DefThrCountry)/$AH40,1),IF($AI40&gt;IFERROR(VLOOKUP($D40,LVTable,3,FALSE),DefThrAsset),IFERROR(VLOOKUP($D40,LVTable,3,FALSE),DefThrAsset)/$AI40,1))))</f>
        <v/>
      </c>
      <c r="AK40" s="33">
        <f>IF($B40="","",$AE40*$AJ40)</f>
        <v/>
      </c>
    </row>
    <row r="41">
      <c r="A41" s="16">
        <f>IF($B41="","",ROW()-4)</f>
        <v/>
      </c>
      <c r="B41" s="20" t="n"/>
      <c r="C41" s="20" t="n"/>
      <c r="D41" s="20" t="n"/>
      <c r="E41" s="20" t="n"/>
      <c r="F41" s="20" t="n"/>
      <c r="G41" s="20" t="n"/>
      <c r="H41" s="30" t="n"/>
      <c r="I41" s="30" t="n"/>
      <c r="J41" s="30" t="n"/>
      <c r="K41" s="31">
        <f>IF($B41="","",IF(ISNUMBER($J41),$J41,$I41))</f>
        <v/>
      </c>
      <c r="L41" s="32">
        <f>IF($B41="","",IFERROR(VLOOKUP($G41,FXRates,4,FALSE),1))</f>
        <v/>
      </c>
      <c r="M41" s="33">
        <f>IF($B41="","",$H41*$K41*$L41)</f>
        <v/>
      </c>
      <c r="N41" s="21" t="n"/>
      <c r="O41" s="14">
        <f>IF($B41="","",IF($D41=CashLabel,IF(ISNUMBER($N41),$N41,1),MIN(IF(ISNUMBER($N41),$N41,IFERROR(VLOOKUP($D41,LVTable,2,FALSE),0)),LVCap)))</f>
        <v/>
      </c>
      <c r="P41" s="25">
        <f>IF($B41="","",$M41*$O41)</f>
        <v/>
      </c>
      <c r="Q41" s="16">
        <f>IF($B41="","",IFERROR(VLOOKUP($G41,FXRates,5,FALSE),$G41))</f>
        <v/>
      </c>
      <c r="R41" s="14">
        <f>IF($B41="","",IF($D41=CashLabel,"",SUMIFS($P$5:$P$204,$B$5:$B$204,$B41,$D$5:$D$204,"&lt;&gt;"&amp;CashLabel)/ConcDenom))</f>
        <v/>
      </c>
      <c r="S41" s="14">
        <f>IF($B41="","",IF($D41=CashLabel,"",SUMIFS($P$5:$P$204,$E$5:$E$204,$E41,$D$5:$D$204,"&lt;&gt;"&amp;CashLabel)/ConcDenom))</f>
        <v/>
      </c>
      <c r="T41" s="14">
        <f>IF($B41="","",IF($D41=CashLabel,"",SUMIFS($P$5:$P$204,$F$5:$F$204,$F41,$D$5:$D$204,"&lt;&gt;"&amp;CashLabel)/ConcDenom))</f>
        <v/>
      </c>
      <c r="U41" s="14">
        <f>IF($B41="","",IF($D41=CashLabel,"",SUMIFS($P$5:$P$204,$D$5:$D$204,$D41,$D$5:$D$204,"&lt;&gt;"&amp;CashLabel)/ConcDenom))</f>
        <v/>
      </c>
      <c r="V41" s="15">
        <f>IF($B41="","",IF($D41=CashLabel,1,IF($R41&gt;ThrSingle,ThrSingle/$R41,1)))</f>
        <v/>
      </c>
      <c r="W41" s="15">
        <f>IF($B41="","",IF($D41=CashLabel,1,IF($S41&gt;ThrIssuer,ThrIssuer/$S41,1)))</f>
        <v/>
      </c>
      <c r="X41" s="15">
        <f>IF($B41="","",IF($D41=CashLabel,1,IF($T41&gt;IFERROR(VLOOKUP($F41,CountryThr,2,FALSE),DefThrCountry),IFERROR(VLOOKUP($F41,CountryThr,2,FALSE),DefThrCountry)/$T41,1)))</f>
        <v/>
      </c>
      <c r="Y41" s="15">
        <f>IF($B41="","",IF($D41=CashLabel,1,IF($U41&gt;IFERROR(VLOOKUP($D41,LVTable,3,FALSE),DefThrAsset),IFERROR(VLOOKUP($D41,LVTable,3,FALSE),DefThrAsset)/$U41,1)))</f>
        <v/>
      </c>
      <c r="Z41" s="34">
        <f>IF($B41="","",IF($D41=CashLabel,1,MIN($V41:$Y41)))</f>
        <v/>
      </c>
      <c r="AA41" s="25">
        <f>IF($B41="","",$P41*$Z41)</f>
        <v/>
      </c>
      <c r="AB41" s="33">
        <f>IF($B41="","",$P41-$AA41)</f>
        <v/>
      </c>
      <c r="AC41" s="21" t="n"/>
      <c r="AD41" s="33">
        <f>IF($B41="","",$M41*(1+IF(ISNUMBER($AC41),$AC41,0)))</f>
        <v/>
      </c>
      <c r="AE41" s="33">
        <f>IF($B41="","",$AD41*$O41)</f>
        <v/>
      </c>
      <c r="AF41" s="14">
        <f>IF($B41="","",IF($D41=CashLabel,"",SUMIFS($AE$5:$AE$204,$B$5:$B$204,$B41,$D$5:$D$204,"&lt;&gt;"&amp;CashLabel)/ConcDenomStr))</f>
        <v/>
      </c>
      <c r="AG41" s="14">
        <f>IF($B41="","",IF($D41=CashLabel,"",SUMIFS($AE$5:$AE$204,$E$5:$E$204,$E41,$D$5:$D$204,"&lt;&gt;"&amp;CashLabel)/ConcDenomStr))</f>
        <v/>
      </c>
      <c r="AH41" s="14">
        <f>IF($B41="","",IF($D41=CashLabel,"",SUMIFS($AE$5:$AE$204,$F$5:$F$204,$F41,$D$5:$D$204,"&lt;&gt;"&amp;CashLabel)/ConcDenomStr))</f>
        <v/>
      </c>
      <c r="AI41" s="14">
        <f>IF($B41="","",IF($D41=CashLabel,"",SUMIFS($AE$5:$AE$204,$D$5:$D$204,$D41,$D$5:$D$204,"&lt;&gt;"&amp;CashLabel)/ConcDenomStr))</f>
        <v/>
      </c>
      <c r="AJ41" s="15">
        <f>IF($B41="","",IF($D41=CashLabel,1,MIN(IF($AF41&gt;ThrSingle,ThrSingle/$AF41,1),IF($AG41&gt;ThrIssuer,ThrIssuer/$AG41,1),IF($AH41&gt;IFERROR(VLOOKUP($F41,CountryThr,2,FALSE),DefThrCountry),IFERROR(VLOOKUP($F41,CountryThr,2,FALSE),DefThrCountry)/$AH41,1),IF($AI41&gt;IFERROR(VLOOKUP($D41,LVTable,3,FALSE),DefThrAsset),IFERROR(VLOOKUP($D41,LVTable,3,FALSE),DefThrAsset)/$AI41,1))))</f>
        <v/>
      </c>
      <c r="AK41" s="33">
        <f>IF($B41="","",$AE41*$AJ41)</f>
        <v/>
      </c>
    </row>
    <row r="42">
      <c r="A42" s="16">
        <f>IF($B42="","",ROW()-4)</f>
        <v/>
      </c>
      <c r="B42" s="20" t="n"/>
      <c r="C42" s="20" t="n"/>
      <c r="D42" s="20" t="n"/>
      <c r="E42" s="20" t="n"/>
      <c r="F42" s="20" t="n"/>
      <c r="G42" s="20" t="n"/>
      <c r="H42" s="30" t="n"/>
      <c r="I42" s="30" t="n"/>
      <c r="J42" s="30" t="n"/>
      <c r="K42" s="31">
        <f>IF($B42="","",IF(ISNUMBER($J42),$J42,$I42))</f>
        <v/>
      </c>
      <c r="L42" s="32">
        <f>IF($B42="","",IFERROR(VLOOKUP($G42,FXRates,4,FALSE),1))</f>
        <v/>
      </c>
      <c r="M42" s="33">
        <f>IF($B42="","",$H42*$K42*$L42)</f>
        <v/>
      </c>
      <c r="N42" s="21" t="n"/>
      <c r="O42" s="14">
        <f>IF($B42="","",IF($D42=CashLabel,IF(ISNUMBER($N42),$N42,1),MIN(IF(ISNUMBER($N42),$N42,IFERROR(VLOOKUP($D42,LVTable,2,FALSE),0)),LVCap)))</f>
        <v/>
      </c>
      <c r="P42" s="25">
        <f>IF($B42="","",$M42*$O42)</f>
        <v/>
      </c>
      <c r="Q42" s="16">
        <f>IF($B42="","",IFERROR(VLOOKUP($G42,FXRates,5,FALSE),$G42))</f>
        <v/>
      </c>
      <c r="R42" s="14">
        <f>IF($B42="","",IF($D42=CashLabel,"",SUMIFS($P$5:$P$204,$B$5:$B$204,$B42,$D$5:$D$204,"&lt;&gt;"&amp;CashLabel)/ConcDenom))</f>
        <v/>
      </c>
      <c r="S42" s="14">
        <f>IF($B42="","",IF($D42=CashLabel,"",SUMIFS($P$5:$P$204,$E$5:$E$204,$E42,$D$5:$D$204,"&lt;&gt;"&amp;CashLabel)/ConcDenom))</f>
        <v/>
      </c>
      <c r="T42" s="14">
        <f>IF($B42="","",IF($D42=CashLabel,"",SUMIFS($P$5:$P$204,$F$5:$F$204,$F42,$D$5:$D$204,"&lt;&gt;"&amp;CashLabel)/ConcDenom))</f>
        <v/>
      </c>
      <c r="U42" s="14">
        <f>IF($B42="","",IF($D42=CashLabel,"",SUMIFS($P$5:$P$204,$D$5:$D$204,$D42,$D$5:$D$204,"&lt;&gt;"&amp;CashLabel)/ConcDenom))</f>
        <v/>
      </c>
      <c r="V42" s="15">
        <f>IF($B42="","",IF($D42=CashLabel,1,IF($R42&gt;ThrSingle,ThrSingle/$R42,1)))</f>
        <v/>
      </c>
      <c r="W42" s="15">
        <f>IF($B42="","",IF($D42=CashLabel,1,IF($S42&gt;ThrIssuer,ThrIssuer/$S42,1)))</f>
        <v/>
      </c>
      <c r="X42" s="15">
        <f>IF($B42="","",IF($D42=CashLabel,1,IF($T42&gt;IFERROR(VLOOKUP($F42,CountryThr,2,FALSE),DefThrCountry),IFERROR(VLOOKUP($F42,CountryThr,2,FALSE),DefThrCountry)/$T42,1)))</f>
        <v/>
      </c>
      <c r="Y42" s="15">
        <f>IF($B42="","",IF($D42=CashLabel,1,IF($U42&gt;IFERROR(VLOOKUP($D42,LVTable,3,FALSE),DefThrAsset),IFERROR(VLOOKUP($D42,LVTable,3,FALSE),DefThrAsset)/$U42,1)))</f>
        <v/>
      </c>
      <c r="Z42" s="34">
        <f>IF($B42="","",IF($D42=CashLabel,1,MIN($V42:$Y42)))</f>
        <v/>
      </c>
      <c r="AA42" s="25">
        <f>IF($B42="","",$P42*$Z42)</f>
        <v/>
      </c>
      <c r="AB42" s="33">
        <f>IF($B42="","",$P42-$AA42)</f>
        <v/>
      </c>
      <c r="AC42" s="21" t="n"/>
      <c r="AD42" s="33">
        <f>IF($B42="","",$M42*(1+IF(ISNUMBER($AC42),$AC42,0)))</f>
        <v/>
      </c>
      <c r="AE42" s="33">
        <f>IF($B42="","",$AD42*$O42)</f>
        <v/>
      </c>
      <c r="AF42" s="14">
        <f>IF($B42="","",IF($D42=CashLabel,"",SUMIFS($AE$5:$AE$204,$B$5:$B$204,$B42,$D$5:$D$204,"&lt;&gt;"&amp;CashLabel)/ConcDenomStr))</f>
        <v/>
      </c>
      <c r="AG42" s="14">
        <f>IF($B42="","",IF($D42=CashLabel,"",SUMIFS($AE$5:$AE$204,$E$5:$E$204,$E42,$D$5:$D$204,"&lt;&gt;"&amp;CashLabel)/ConcDenomStr))</f>
        <v/>
      </c>
      <c r="AH42" s="14">
        <f>IF($B42="","",IF($D42=CashLabel,"",SUMIFS($AE$5:$AE$204,$F$5:$F$204,$F42,$D$5:$D$204,"&lt;&gt;"&amp;CashLabel)/ConcDenomStr))</f>
        <v/>
      </c>
      <c r="AI42" s="14">
        <f>IF($B42="","",IF($D42=CashLabel,"",SUMIFS($AE$5:$AE$204,$D$5:$D$204,$D42,$D$5:$D$204,"&lt;&gt;"&amp;CashLabel)/ConcDenomStr))</f>
        <v/>
      </c>
      <c r="AJ42" s="15">
        <f>IF($B42="","",IF($D42=CashLabel,1,MIN(IF($AF42&gt;ThrSingle,ThrSingle/$AF42,1),IF($AG42&gt;ThrIssuer,ThrIssuer/$AG42,1),IF($AH42&gt;IFERROR(VLOOKUP($F42,CountryThr,2,FALSE),DefThrCountry),IFERROR(VLOOKUP($F42,CountryThr,2,FALSE),DefThrCountry)/$AH42,1),IF($AI42&gt;IFERROR(VLOOKUP($D42,LVTable,3,FALSE),DefThrAsset),IFERROR(VLOOKUP($D42,LVTable,3,FALSE),DefThrAsset)/$AI42,1))))</f>
        <v/>
      </c>
      <c r="AK42" s="33">
        <f>IF($B42="","",$AE42*$AJ42)</f>
        <v/>
      </c>
    </row>
    <row r="43">
      <c r="A43" s="16">
        <f>IF($B43="","",ROW()-4)</f>
        <v/>
      </c>
      <c r="B43" s="20" t="n"/>
      <c r="C43" s="20" t="n"/>
      <c r="D43" s="20" t="n"/>
      <c r="E43" s="20" t="n"/>
      <c r="F43" s="20" t="n"/>
      <c r="G43" s="20" t="n"/>
      <c r="H43" s="30" t="n"/>
      <c r="I43" s="30" t="n"/>
      <c r="J43" s="30" t="n"/>
      <c r="K43" s="31">
        <f>IF($B43="","",IF(ISNUMBER($J43),$J43,$I43))</f>
        <v/>
      </c>
      <c r="L43" s="32">
        <f>IF($B43="","",IFERROR(VLOOKUP($G43,FXRates,4,FALSE),1))</f>
        <v/>
      </c>
      <c r="M43" s="33">
        <f>IF($B43="","",$H43*$K43*$L43)</f>
        <v/>
      </c>
      <c r="N43" s="21" t="n"/>
      <c r="O43" s="14">
        <f>IF($B43="","",IF($D43=CashLabel,IF(ISNUMBER($N43),$N43,1),MIN(IF(ISNUMBER($N43),$N43,IFERROR(VLOOKUP($D43,LVTable,2,FALSE),0)),LVCap)))</f>
        <v/>
      </c>
      <c r="P43" s="25">
        <f>IF($B43="","",$M43*$O43)</f>
        <v/>
      </c>
      <c r="Q43" s="16">
        <f>IF($B43="","",IFERROR(VLOOKUP($G43,FXRates,5,FALSE),$G43))</f>
        <v/>
      </c>
      <c r="R43" s="14">
        <f>IF($B43="","",IF($D43=CashLabel,"",SUMIFS($P$5:$P$204,$B$5:$B$204,$B43,$D$5:$D$204,"&lt;&gt;"&amp;CashLabel)/ConcDenom))</f>
        <v/>
      </c>
      <c r="S43" s="14">
        <f>IF($B43="","",IF($D43=CashLabel,"",SUMIFS($P$5:$P$204,$E$5:$E$204,$E43,$D$5:$D$204,"&lt;&gt;"&amp;CashLabel)/ConcDenom))</f>
        <v/>
      </c>
      <c r="T43" s="14">
        <f>IF($B43="","",IF($D43=CashLabel,"",SUMIFS($P$5:$P$204,$F$5:$F$204,$F43,$D$5:$D$204,"&lt;&gt;"&amp;CashLabel)/ConcDenom))</f>
        <v/>
      </c>
      <c r="U43" s="14">
        <f>IF($B43="","",IF($D43=CashLabel,"",SUMIFS($P$5:$P$204,$D$5:$D$204,$D43,$D$5:$D$204,"&lt;&gt;"&amp;CashLabel)/ConcDenom))</f>
        <v/>
      </c>
      <c r="V43" s="15">
        <f>IF($B43="","",IF($D43=CashLabel,1,IF($R43&gt;ThrSingle,ThrSingle/$R43,1)))</f>
        <v/>
      </c>
      <c r="W43" s="15">
        <f>IF($B43="","",IF($D43=CashLabel,1,IF($S43&gt;ThrIssuer,ThrIssuer/$S43,1)))</f>
        <v/>
      </c>
      <c r="X43" s="15">
        <f>IF($B43="","",IF($D43=CashLabel,1,IF($T43&gt;IFERROR(VLOOKUP($F43,CountryThr,2,FALSE),DefThrCountry),IFERROR(VLOOKUP($F43,CountryThr,2,FALSE),DefThrCountry)/$T43,1)))</f>
        <v/>
      </c>
      <c r="Y43" s="15">
        <f>IF($B43="","",IF($D43=CashLabel,1,IF($U43&gt;IFERROR(VLOOKUP($D43,LVTable,3,FALSE),DefThrAsset),IFERROR(VLOOKUP($D43,LVTable,3,FALSE),DefThrAsset)/$U43,1)))</f>
        <v/>
      </c>
      <c r="Z43" s="34">
        <f>IF($B43="","",IF($D43=CashLabel,1,MIN($V43:$Y43)))</f>
        <v/>
      </c>
      <c r="AA43" s="25">
        <f>IF($B43="","",$P43*$Z43)</f>
        <v/>
      </c>
      <c r="AB43" s="33">
        <f>IF($B43="","",$P43-$AA43)</f>
        <v/>
      </c>
      <c r="AC43" s="21" t="n"/>
      <c r="AD43" s="33">
        <f>IF($B43="","",$M43*(1+IF(ISNUMBER($AC43),$AC43,0)))</f>
        <v/>
      </c>
      <c r="AE43" s="33">
        <f>IF($B43="","",$AD43*$O43)</f>
        <v/>
      </c>
      <c r="AF43" s="14">
        <f>IF($B43="","",IF($D43=CashLabel,"",SUMIFS($AE$5:$AE$204,$B$5:$B$204,$B43,$D$5:$D$204,"&lt;&gt;"&amp;CashLabel)/ConcDenomStr))</f>
        <v/>
      </c>
      <c r="AG43" s="14">
        <f>IF($B43="","",IF($D43=CashLabel,"",SUMIFS($AE$5:$AE$204,$E$5:$E$204,$E43,$D$5:$D$204,"&lt;&gt;"&amp;CashLabel)/ConcDenomStr))</f>
        <v/>
      </c>
      <c r="AH43" s="14">
        <f>IF($B43="","",IF($D43=CashLabel,"",SUMIFS($AE$5:$AE$204,$F$5:$F$204,$F43,$D$5:$D$204,"&lt;&gt;"&amp;CashLabel)/ConcDenomStr))</f>
        <v/>
      </c>
      <c r="AI43" s="14">
        <f>IF($B43="","",IF($D43=CashLabel,"",SUMIFS($AE$5:$AE$204,$D$5:$D$204,$D43,$D$5:$D$204,"&lt;&gt;"&amp;CashLabel)/ConcDenomStr))</f>
        <v/>
      </c>
      <c r="AJ43" s="15">
        <f>IF($B43="","",IF($D43=CashLabel,1,MIN(IF($AF43&gt;ThrSingle,ThrSingle/$AF43,1),IF($AG43&gt;ThrIssuer,ThrIssuer/$AG43,1),IF($AH43&gt;IFERROR(VLOOKUP($F43,CountryThr,2,FALSE),DefThrCountry),IFERROR(VLOOKUP($F43,CountryThr,2,FALSE),DefThrCountry)/$AH43,1),IF($AI43&gt;IFERROR(VLOOKUP($D43,LVTable,3,FALSE),DefThrAsset),IFERROR(VLOOKUP($D43,LVTable,3,FALSE),DefThrAsset)/$AI43,1))))</f>
        <v/>
      </c>
      <c r="AK43" s="33">
        <f>IF($B43="","",$AE43*$AJ43)</f>
        <v/>
      </c>
    </row>
    <row r="44">
      <c r="A44" s="16">
        <f>IF($B44="","",ROW()-4)</f>
        <v/>
      </c>
      <c r="B44" s="20" t="n"/>
      <c r="C44" s="20" t="n"/>
      <c r="D44" s="20" t="n"/>
      <c r="E44" s="20" t="n"/>
      <c r="F44" s="20" t="n"/>
      <c r="G44" s="20" t="n"/>
      <c r="H44" s="30" t="n"/>
      <c r="I44" s="30" t="n"/>
      <c r="J44" s="30" t="n"/>
      <c r="K44" s="31">
        <f>IF($B44="","",IF(ISNUMBER($J44),$J44,$I44))</f>
        <v/>
      </c>
      <c r="L44" s="32">
        <f>IF($B44="","",IFERROR(VLOOKUP($G44,FXRates,4,FALSE),1))</f>
        <v/>
      </c>
      <c r="M44" s="33">
        <f>IF($B44="","",$H44*$K44*$L44)</f>
        <v/>
      </c>
      <c r="N44" s="21" t="n"/>
      <c r="O44" s="14">
        <f>IF($B44="","",IF($D44=CashLabel,IF(ISNUMBER($N44),$N44,1),MIN(IF(ISNUMBER($N44),$N44,IFERROR(VLOOKUP($D44,LVTable,2,FALSE),0)),LVCap)))</f>
        <v/>
      </c>
      <c r="P44" s="25">
        <f>IF($B44="","",$M44*$O44)</f>
        <v/>
      </c>
      <c r="Q44" s="16">
        <f>IF($B44="","",IFERROR(VLOOKUP($G44,FXRates,5,FALSE),$G44))</f>
        <v/>
      </c>
      <c r="R44" s="14">
        <f>IF($B44="","",IF($D44=CashLabel,"",SUMIFS($P$5:$P$204,$B$5:$B$204,$B44,$D$5:$D$204,"&lt;&gt;"&amp;CashLabel)/ConcDenom))</f>
        <v/>
      </c>
      <c r="S44" s="14">
        <f>IF($B44="","",IF($D44=CashLabel,"",SUMIFS($P$5:$P$204,$E$5:$E$204,$E44,$D$5:$D$204,"&lt;&gt;"&amp;CashLabel)/ConcDenom))</f>
        <v/>
      </c>
      <c r="T44" s="14">
        <f>IF($B44="","",IF($D44=CashLabel,"",SUMIFS($P$5:$P$204,$F$5:$F$204,$F44,$D$5:$D$204,"&lt;&gt;"&amp;CashLabel)/ConcDenom))</f>
        <v/>
      </c>
      <c r="U44" s="14">
        <f>IF($B44="","",IF($D44=CashLabel,"",SUMIFS($P$5:$P$204,$D$5:$D$204,$D44,$D$5:$D$204,"&lt;&gt;"&amp;CashLabel)/ConcDenom))</f>
        <v/>
      </c>
      <c r="V44" s="15">
        <f>IF($B44="","",IF($D44=CashLabel,1,IF($R44&gt;ThrSingle,ThrSingle/$R44,1)))</f>
        <v/>
      </c>
      <c r="W44" s="15">
        <f>IF($B44="","",IF($D44=CashLabel,1,IF($S44&gt;ThrIssuer,ThrIssuer/$S44,1)))</f>
        <v/>
      </c>
      <c r="X44" s="15">
        <f>IF($B44="","",IF($D44=CashLabel,1,IF($T44&gt;IFERROR(VLOOKUP($F44,CountryThr,2,FALSE),DefThrCountry),IFERROR(VLOOKUP($F44,CountryThr,2,FALSE),DefThrCountry)/$T44,1)))</f>
        <v/>
      </c>
      <c r="Y44" s="15">
        <f>IF($B44="","",IF($D44=CashLabel,1,IF($U44&gt;IFERROR(VLOOKUP($D44,LVTable,3,FALSE),DefThrAsset),IFERROR(VLOOKUP($D44,LVTable,3,FALSE),DefThrAsset)/$U44,1)))</f>
        <v/>
      </c>
      <c r="Z44" s="34">
        <f>IF($B44="","",IF($D44=CashLabel,1,MIN($V44:$Y44)))</f>
        <v/>
      </c>
      <c r="AA44" s="25">
        <f>IF($B44="","",$P44*$Z44)</f>
        <v/>
      </c>
      <c r="AB44" s="33">
        <f>IF($B44="","",$P44-$AA44)</f>
        <v/>
      </c>
      <c r="AC44" s="21" t="n"/>
      <c r="AD44" s="33">
        <f>IF($B44="","",$M44*(1+IF(ISNUMBER($AC44),$AC44,0)))</f>
        <v/>
      </c>
      <c r="AE44" s="33">
        <f>IF($B44="","",$AD44*$O44)</f>
        <v/>
      </c>
      <c r="AF44" s="14">
        <f>IF($B44="","",IF($D44=CashLabel,"",SUMIFS($AE$5:$AE$204,$B$5:$B$204,$B44,$D$5:$D$204,"&lt;&gt;"&amp;CashLabel)/ConcDenomStr))</f>
        <v/>
      </c>
      <c r="AG44" s="14">
        <f>IF($B44="","",IF($D44=CashLabel,"",SUMIFS($AE$5:$AE$204,$E$5:$E$204,$E44,$D$5:$D$204,"&lt;&gt;"&amp;CashLabel)/ConcDenomStr))</f>
        <v/>
      </c>
      <c r="AH44" s="14">
        <f>IF($B44="","",IF($D44=CashLabel,"",SUMIFS($AE$5:$AE$204,$F$5:$F$204,$F44,$D$5:$D$204,"&lt;&gt;"&amp;CashLabel)/ConcDenomStr))</f>
        <v/>
      </c>
      <c r="AI44" s="14">
        <f>IF($B44="","",IF($D44=CashLabel,"",SUMIFS($AE$5:$AE$204,$D$5:$D$204,$D44,$D$5:$D$204,"&lt;&gt;"&amp;CashLabel)/ConcDenomStr))</f>
        <v/>
      </c>
      <c r="AJ44" s="15">
        <f>IF($B44="","",IF($D44=CashLabel,1,MIN(IF($AF44&gt;ThrSingle,ThrSingle/$AF44,1),IF($AG44&gt;ThrIssuer,ThrIssuer/$AG44,1),IF($AH44&gt;IFERROR(VLOOKUP($F44,CountryThr,2,FALSE),DefThrCountry),IFERROR(VLOOKUP($F44,CountryThr,2,FALSE),DefThrCountry)/$AH44,1),IF($AI44&gt;IFERROR(VLOOKUP($D44,LVTable,3,FALSE),DefThrAsset),IFERROR(VLOOKUP($D44,LVTable,3,FALSE),DefThrAsset)/$AI44,1))))</f>
        <v/>
      </c>
      <c r="AK44" s="33">
        <f>IF($B44="","",$AE44*$AJ44)</f>
        <v/>
      </c>
    </row>
    <row r="45">
      <c r="A45" s="16">
        <f>IF($B45="","",ROW()-4)</f>
        <v/>
      </c>
      <c r="B45" s="20" t="n"/>
      <c r="C45" s="20" t="n"/>
      <c r="D45" s="20" t="n"/>
      <c r="E45" s="20" t="n"/>
      <c r="F45" s="20" t="n"/>
      <c r="G45" s="20" t="n"/>
      <c r="H45" s="30" t="n"/>
      <c r="I45" s="30" t="n"/>
      <c r="J45" s="30" t="n"/>
      <c r="K45" s="31">
        <f>IF($B45="","",IF(ISNUMBER($J45),$J45,$I45))</f>
        <v/>
      </c>
      <c r="L45" s="32">
        <f>IF($B45="","",IFERROR(VLOOKUP($G45,FXRates,4,FALSE),1))</f>
        <v/>
      </c>
      <c r="M45" s="33">
        <f>IF($B45="","",$H45*$K45*$L45)</f>
        <v/>
      </c>
      <c r="N45" s="21" t="n"/>
      <c r="O45" s="14">
        <f>IF($B45="","",IF($D45=CashLabel,IF(ISNUMBER($N45),$N45,1),MIN(IF(ISNUMBER($N45),$N45,IFERROR(VLOOKUP($D45,LVTable,2,FALSE),0)),LVCap)))</f>
        <v/>
      </c>
      <c r="P45" s="25">
        <f>IF($B45="","",$M45*$O45)</f>
        <v/>
      </c>
      <c r="Q45" s="16">
        <f>IF($B45="","",IFERROR(VLOOKUP($G45,FXRates,5,FALSE),$G45))</f>
        <v/>
      </c>
      <c r="R45" s="14">
        <f>IF($B45="","",IF($D45=CashLabel,"",SUMIFS($P$5:$P$204,$B$5:$B$204,$B45,$D$5:$D$204,"&lt;&gt;"&amp;CashLabel)/ConcDenom))</f>
        <v/>
      </c>
      <c r="S45" s="14">
        <f>IF($B45="","",IF($D45=CashLabel,"",SUMIFS($P$5:$P$204,$E$5:$E$204,$E45,$D$5:$D$204,"&lt;&gt;"&amp;CashLabel)/ConcDenom))</f>
        <v/>
      </c>
      <c r="T45" s="14">
        <f>IF($B45="","",IF($D45=CashLabel,"",SUMIFS($P$5:$P$204,$F$5:$F$204,$F45,$D$5:$D$204,"&lt;&gt;"&amp;CashLabel)/ConcDenom))</f>
        <v/>
      </c>
      <c r="U45" s="14">
        <f>IF($B45="","",IF($D45=CashLabel,"",SUMIFS($P$5:$P$204,$D$5:$D$204,$D45,$D$5:$D$204,"&lt;&gt;"&amp;CashLabel)/ConcDenom))</f>
        <v/>
      </c>
      <c r="V45" s="15">
        <f>IF($B45="","",IF($D45=CashLabel,1,IF($R45&gt;ThrSingle,ThrSingle/$R45,1)))</f>
        <v/>
      </c>
      <c r="W45" s="15">
        <f>IF($B45="","",IF($D45=CashLabel,1,IF($S45&gt;ThrIssuer,ThrIssuer/$S45,1)))</f>
        <v/>
      </c>
      <c r="X45" s="15">
        <f>IF($B45="","",IF($D45=CashLabel,1,IF($T45&gt;IFERROR(VLOOKUP($F45,CountryThr,2,FALSE),DefThrCountry),IFERROR(VLOOKUP($F45,CountryThr,2,FALSE),DefThrCountry)/$T45,1)))</f>
        <v/>
      </c>
      <c r="Y45" s="15">
        <f>IF($B45="","",IF($D45=CashLabel,1,IF($U45&gt;IFERROR(VLOOKUP($D45,LVTable,3,FALSE),DefThrAsset),IFERROR(VLOOKUP($D45,LVTable,3,FALSE),DefThrAsset)/$U45,1)))</f>
        <v/>
      </c>
      <c r="Z45" s="34">
        <f>IF($B45="","",IF($D45=CashLabel,1,MIN($V45:$Y45)))</f>
        <v/>
      </c>
      <c r="AA45" s="25">
        <f>IF($B45="","",$P45*$Z45)</f>
        <v/>
      </c>
      <c r="AB45" s="33">
        <f>IF($B45="","",$P45-$AA45)</f>
        <v/>
      </c>
      <c r="AC45" s="21" t="n"/>
      <c r="AD45" s="33">
        <f>IF($B45="","",$M45*(1+IF(ISNUMBER($AC45),$AC45,0)))</f>
        <v/>
      </c>
      <c r="AE45" s="33">
        <f>IF($B45="","",$AD45*$O45)</f>
        <v/>
      </c>
      <c r="AF45" s="14">
        <f>IF($B45="","",IF($D45=CashLabel,"",SUMIFS($AE$5:$AE$204,$B$5:$B$204,$B45,$D$5:$D$204,"&lt;&gt;"&amp;CashLabel)/ConcDenomStr))</f>
        <v/>
      </c>
      <c r="AG45" s="14">
        <f>IF($B45="","",IF($D45=CashLabel,"",SUMIFS($AE$5:$AE$204,$E$5:$E$204,$E45,$D$5:$D$204,"&lt;&gt;"&amp;CashLabel)/ConcDenomStr))</f>
        <v/>
      </c>
      <c r="AH45" s="14">
        <f>IF($B45="","",IF($D45=CashLabel,"",SUMIFS($AE$5:$AE$204,$F$5:$F$204,$F45,$D$5:$D$204,"&lt;&gt;"&amp;CashLabel)/ConcDenomStr))</f>
        <v/>
      </c>
      <c r="AI45" s="14">
        <f>IF($B45="","",IF($D45=CashLabel,"",SUMIFS($AE$5:$AE$204,$D$5:$D$204,$D45,$D$5:$D$204,"&lt;&gt;"&amp;CashLabel)/ConcDenomStr))</f>
        <v/>
      </c>
      <c r="AJ45" s="15">
        <f>IF($B45="","",IF($D45=CashLabel,1,MIN(IF($AF45&gt;ThrSingle,ThrSingle/$AF45,1),IF($AG45&gt;ThrIssuer,ThrIssuer/$AG45,1),IF($AH45&gt;IFERROR(VLOOKUP($F45,CountryThr,2,FALSE),DefThrCountry),IFERROR(VLOOKUP($F45,CountryThr,2,FALSE),DefThrCountry)/$AH45,1),IF($AI45&gt;IFERROR(VLOOKUP($D45,LVTable,3,FALSE),DefThrAsset),IFERROR(VLOOKUP($D45,LVTable,3,FALSE),DefThrAsset)/$AI45,1))))</f>
        <v/>
      </c>
      <c r="AK45" s="33">
        <f>IF($B45="","",$AE45*$AJ45)</f>
        <v/>
      </c>
    </row>
    <row r="46">
      <c r="A46" s="16">
        <f>IF($B46="","",ROW()-4)</f>
        <v/>
      </c>
      <c r="B46" s="20" t="n"/>
      <c r="C46" s="20" t="n"/>
      <c r="D46" s="20" t="n"/>
      <c r="E46" s="20" t="n"/>
      <c r="F46" s="20" t="n"/>
      <c r="G46" s="20" t="n"/>
      <c r="H46" s="30" t="n"/>
      <c r="I46" s="30" t="n"/>
      <c r="J46" s="30" t="n"/>
      <c r="K46" s="31">
        <f>IF($B46="","",IF(ISNUMBER($J46),$J46,$I46))</f>
        <v/>
      </c>
      <c r="L46" s="32">
        <f>IF($B46="","",IFERROR(VLOOKUP($G46,FXRates,4,FALSE),1))</f>
        <v/>
      </c>
      <c r="M46" s="33">
        <f>IF($B46="","",$H46*$K46*$L46)</f>
        <v/>
      </c>
      <c r="N46" s="21" t="n"/>
      <c r="O46" s="14">
        <f>IF($B46="","",IF($D46=CashLabel,IF(ISNUMBER($N46),$N46,1),MIN(IF(ISNUMBER($N46),$N46,IFERROR(VLOOKUP($D46,LVTable,2,FALSE),0)),LVCap)))</f>
        <v/>
      </c>
      <c r="P46" s="25">
        <f>IF($B46="","",$M46*$O46)</f>
        <v/>
      </c>
      <c r="Q46" s="16">
        <f>IF($B46="","",IFERROR(VLOOKUP($G46,FXRates,5,FALSE),$G46))</f>
        <v/>
      </c>
      <c r="R46" s="14">
        <f>IF($B46="","",IF($D46=CashLabel,"",SUMIFS($P$5:$P$204,$B$5:$B$204,$B46,$D$5:$D$204,"&lt;&gt;"&amp;CashLabel)/ConcDenom))</f>
        <v/>
      </c>
      <c r="S46" s="14">
        <f>IF($B46="","",IF($D46=CashLabel,"",SUMIFS($P$5:$P$204,$E$5:$E$204,$E46,$D$5:$D$204,"&lt;&gt;"&amp;CashLabel)/ConcDenom))</f>
        <v/>
      </c>
      <c r="T46" s="14">
        <f>IF($B46="","",IF($D46=CashLabel,"",SUMIFS($P$5:$P$204,$F$5:$F$204,$F46,$D$5:$D$204,"&lt;&gt;"&amp;CashLabel)/ConcDenom))</f>
        <v/>
      </c>
      <c r="U46" s="14">
        <f>IF($B46="","",IF($D46=CashLabel,"",SUMIFS($P$5:$P$204,$D$5:$D$204,$D46,$D$5:$D$204,"&lt;&gt;"&amp;CashLabel)/ConcDenom))</f>
        <v/>
      </c>
      <c r="V46" s="15">
        <f>IF($B46="","",IF($D46=CashLabel,1,IF($R46&gt;ThrSingle,ThrSingle/$R46,1)))</f>
        <v/>
      </c>
      <c r="W46" s="15">
        <f>IF($B46="","",IF($D46=CashLabel,1,IF($S46&gt;ThrIssuer,ThrIssuer/$S46,1)))</f>
        <v/>
      </c>
      <c r="X46" s="15">
        <f>IF($B46="","",IF($D46=CashLabel,1,IF($T46&gt;IFERROR(VLOOKUP($F46,CountryThr,2,FALSE),DefThrCountry),IFERROR(VLOOKUP($F46,CountryThr,2,FALSE),DefThrCountry)/$T46,1)))</f>
        <v/>
      </c>
      <c r="Y46" s="15">
        <f>IF($B46="","",IF($D46=CashLabel,1,IF($U46&gt;IFERROR(VLOOKUP($D46,LVTable,3,FALSE),DefThrAsset),IFERROR(VLOOKUP($D46,LVTable,3,FALSE),DefThrAsset)/$U46,1)))</f>
        <v/>
      </c>
      <c r="Z46" s="34">
        <f>IF($B46="","",IF($D46=CashLabel,1,MIN($V46:$Y46)))</f>
        <v/>
      </c>
      <c r="AA46" s="25">
        <f>IF($B46="","",$P46*$Z46)</f>
        <v/>
      </c>
      <c r="AB46" s="33">
        <f>IF($B46="","",$P46-$AA46)</f>
        <v/>
      </c>
      <c r="AC46" s="21" t="n"/>
      <c r="AD46" s="33">
        <f>IF($B46="","",$M46*(1+IF(ISNUMBER($AC46),$AC46,0)))</f>
        <v/>
      </c>
      <c r="AE46" s="33">
        <f>IF($B46="","",$AD46*$O46)</f>
        <v/>
      </c>
      <c r="AF46" s="14">
        <f>IF($B46="","",IF($D46=CashLabel,"",SUMIFS($AE$5:$AE$204,$B$5:$B$204,$B46,$D$5:$D$204,"&lt;&gt;"&amp;CashLabel)/ConcDenomStr))</f>
        <v/>
      </c>
      <c r="AG46" s="14">
        <f>IF($B46="","",IF($D46=CashLabel,"",SUMIFS($AE$5:$AE$204,$E$5:$E$204,$E46,$D$5:$D$204,"&lt;&gt;"&amp;CashLabel)/ConcDenomStr))</f>
        <v/>
      </c>
      <c r="AH46" s="14">
        <f>IF($B46="","",IF($D46=CashLabel,"",SUMIFS($AE$5:$AE$204,$F$5:$F$204,$F46,$D$5:$D$204,"&lt;&gt;"&amp;CashLabel)/ConcDenomStr))</f>
        <v/>
      </c>
      <c r="AI46" s="14">
        <f>IF($B46="","",IF($D46=CashLabel,"",SUMIFS($AE$5:$AE$204,$D$5:$D$204,$D46,$D$5:$D$204,"&lt;&gt;"&amp;CashLabel)/ConcDenomStr))</f>
        <v/>
      </c>
      <c r="AJ46" s="15">
        <f>IF($B46="","",IF($D46=CashLabel,1,MIN(IF($AF46&gt;ThrSingle,ThrSingle/$AF46,1),IF($AG46&gt;ThrIssuer,ThrIssuer/$AG46,1),IF($AH46&gt;IFERROR(VLOOKUP($F46,CountryThr,2,FALSE),DefThrCountry),IFERROR(VLOOKUP($F46,CountryThr,2,FALSE),DefThrCountry)/$AH46,1),IF($AI46&gt;IFERROR(VLOOKUP($D46,LVTable,3,FALSE),DefThrAsset),IFERROR(VLOOKUP($D46,LVTable,3,FALSE),DefThrAsset)/$AI46,1))))</f>
        <v/>
      </c>
      <c r="AK46" s="33">
        <f>IF($B46="","",$AE46*$AJ46)</f>
        <v/>
      </c>
    </row>
    <row r="47">
      <c r="A47" s="16">
        <f>IF($B47="","",ROW()-4)</f>
        <v/>
      </c>
      <c r="B47" s="20" t="n"/>
      <c r="C47" s="20" t="n"/>
      <c r="D47" s="20" t="n"/>
      <c r="E47" s="20" t="n"/>
      <c r="F47" s="20" t="n"/>
      <c r="G47" s="20" t="n"/>
      <c r="H47" s="30" t="n"/>
      <c r="I47" s="30" t="n"/>
      <c r="J47" s="30" t="n"/>
      <c r="K47" s="31">
        <f>IF($B47="","",IF(ISNUMBER($J47),$J47,$I47))</f>
        <v/>
      </c>
      <c r="L47" s="32">
        <f>IF($B47="","",IFERROR(VLOOKUP($G47,FXRates,4,FALSE),1))</f>
        <v/>
      </c>
      <c r="M47" s="33">
        <f>IF($B47="","",$H47*$K47*$L47)</f>
        <v/>
      </c>
      <c r="N47" s="21" t="n"/>
      <c r="O47" s="14">
        <f>IF($B47="","",IF($D47=CashLabel,IF(ISNUMBER($N47),$N47,1),MIN(IF(ISNUMBER($N47),$N47,IFERROR(VLOOKUP($D47,LVTable,2,FALSE),0)),LVCap)))</f>
        <v/>
      </c>
      <c r="P47" s="25">
        <f>IF($B47="","",$M47*$O47)</f>
        <v/>
      </c>
      <c r="Q47" s="16">
        <f>IF($B47="","",IFERROR(VLOOKUP($G47,FXRates,5,FALSE),$G47))</f>
        <v/>
      </c>
      <c r="R47" s="14">
        <f>IF($B47="","",IF($D47=CashLabel,"",SUMIFS($P$5:$P$204,$B$5:$B$204,$B47,$D$5:$D$204,"&lt;&gt;"&amp;CashLabel)/ConcDenom))</f>
        <v/>
      </c>
      <c r="S47" s="14">
        <f>IF($B47="","",IF($D47=CashLabel,"",SUMIFS($P$5:$P$204,$E$5:$E$204,$E47,$D$5:$D$204,"&lt;&gt;"&amp;CashLabel)/ConcDenom))</f>
        <v/>
      </c>
      <c r="T47" s="14">
        <f>IF($B47="","",IF($D47=CashLabel,"",SUMIFS($P$5:$P$204,$F$5:$F$204,$F47,$D$5:$D$204,"&lt;&gt;"&amp;CashLabel)/ConcDenom))</f>
        <v/>
      </c>
      <c r="U47" s="14">
        <f>IF($B47="","",IF($D47=CashLabel,"",SUMIFS($P$5:$P$204,$D$5:$D$204,$D47,$D$5:$D$204,"&lt;&gt;"&amp;CashLabel)/ConcDenom))</f>
        <v/>
      </c>
      <c r="V47" s="15">
        <f>IF($B47="","",IF($D47=CashLabel,1,IF($R47&gt;ThrSingle,ThrSingle/$R47,1)))</f>
        <v/>
      </c>
      <c r="W47" s="15">
        <f>IF($B47="","",IF($D47=CashLabel,1,IF($S47&gt;ThrIssuer,ThrIssuer/$S47,1)))</f>
        <v/>
      </c>
      <c r="X47" s="15">
        <f>IF($B47="","",IF($D47=CashLabel,1,IF($T47&gt;IFERROR(VLOOKUP($F47,CountryThr,2,FALSE),DefThrCountry),IFERROR(VLOOKUP($F47,CountryThr,2,FALSE),DefThrCountry)/$T47,1)))</f>
        <v/>
      </c>
      <c r="Y47" s="15">
        <f>IF($B47="","",IF($D47=CashLabel,1,IF($U47&gt;IFERROR(VLOOKUP($D47,LVTable,3,FALSE),DefThrAsset),IFERROR(VLOOKUP($D47,LVTable,3,FALSE),DefThrAsset)/$U47,1)))</f>
        <v/>
      </c>
      <c r="Z47" s="34">
        <f>IF($B47="","",IF($D47=CashLabel,1,MIN($V47:$Y47)))</f>
        <v/>
      </c>
      <c r="AA47" s="25">
        <f>IF($B47="","",$P47*$Z47)</f>
        <v/>
      </c>
      <c r="AB47" s="33">
        <f>IF($B47="","",$P47-$AA47)</f>
        <v/>
      </c>
      <c r="AC47" s="21" t="n"/>
      <c r="AD47" s="33">
        <f>IF($B47="","",$M47*(1+IF(ISNUMBER($AC47),$AC47,0)))</f>
        <v/>
      </c>
      <c r="AE47" s="33">
        <f>IF($B47="","",$AD47*$O47)</f>
        <v/>
      </c>
      <c r="AF47" s="14">
        <f>IF($B47="","",IF($D47=CashLabel,"",SUMIFS($AE$5:$AE$204,$B$5:$B$204,$B47,$D$5:$D$204,"&lt;&gt;"&amp;CashLabel)/ConcDenomStr))</f>
        <v/>
      </c>
      <c r="AG47" s="14">
        <f>IF($B47="","",IF($D47=CashLabel,"",SUMIFS($AE$5:$AE$204,$E$5:$E$204,$E47,$D$5:$D$204,"&lt;&gt;"&amp;CashLabel)/ConcDenomStr))</f>
        <v/>
      </c>
      <c r="AH47" s="14">
        <f>IF($B47="","",IF($D47=CashLabel,"",SUMIFS($AE$5:$AE$204,$F$5:$F$204,$F47,$D$5:$D$204,"&lt;&gt;"&amp;CashLabel)/ConcDenomStr))</f>
        <v/>
      </c>
      <c r="AI47" s="14">
        <f>IF($B47="","",IF($D47=CashLabel,"",SUMIFS($AE$5:$AE$204,$D$5:$D$204,$D47,$D$5:$D$204,"&lt;&gt;"&amp;CashLabel)/ConcDenomStr))</f>
        <v/>
      </c>
      <c r="AJ47" s="15">
        <f>IF($B47="","",IF($D47=CashLabel,1,MIN(IF($AF47&gt;ThrSingle,ThrSingle/$AF47,1),IF($AG47&gt;ThrIssuer,ThrIssuer/$AG47,1),IF($AH47&gt;IFERROR(VLOOKUP($F47,CountryThr,2,FALSE),DefThrCountry),IFERROR(VLOOKUP($F47,CountryThr,2,FALSE),DefThrCountry)/$AH47,1),IF($AI47&gt;IFERROR(VLOOKUP($D47,LVTable,3,FALSE),DefThrAsset),IFERROR(VLOOKUP($D47,LVTable,3,FALSE),DefThrAsset)/$AI47,1))))</f>
        <v/>
      </c>
      <c r="AK47" s="33">
        <f>IF($B47="","",$AE47*$AJ47)</f>
        <v/>
      </c>
    </row>
    <row r="48">
      <c r="A48" s="16">
        <f>IF($B48="","",ROW()-4)</f>
        <v/>
      </c>
      <c r="B48" s="20" t="n"/>
      <c r="C48" s="20" t="n"/>
      <c r="D48" s="20" t="n"/>
      <c r="E48" s="20" t="n"/>
      <c r="F48" s="20" t="n"/>
      <c r="G48" s="20" t="n"/>
      <c r="H48" s="30" t="n"/>
      <c r="I48" s="30" t="n"/>
      <c r="J48" s="30" t="n"/>
      <c r="K48" s="31">
        <f>IF($B48="","",IF(ISNUMBER($J48),$J48,$I48))</f>
        <v/>
      </c>
      <c r="L48" s="32">
        <f>IF($B48="","",IFERROR(VLOOKUP($G48,FXRates,4,FALSE),1))</f>
        <v/>
      </c>
      <c r="M48" s="33">
        <f>IF($B48="","",$H48*$K48*$L48)</f>
        <v/>
      </c>
      <c r="N48" s="21" t="n"/>
      <c r="O48" s="14">
        <f>IF($B48="","",IF($D48=CashLabel,IF(ISNUMBER($N48),$N48,1),MIN(IF(ISNUMBER($N48),$N48,IFERROR(VLOOKUP($D48,LVTable,2,FALSE),0)),LVCap)))</f>
        <v/>
      </c>
      <c r="P48" s="25">
        <f>IF($B48="","",$M48*$O48)</f>
        <v/>
      </c>
      <c r="Q48" s="16">
        <f>IF($B48="","",IFERROR(VLOOKUP($G48,FXRates,5,FALSE),$G48))</f>
        <v/>
      </c>
      <c r="R48" s="14">
        <f>IF($B48="","",IF($D48=CashLabel,"",SUMIFS($P$5:$P$204,$B$5:$B$204,$B48,$D$5:$D$204,"&lt;&gt;"&amp;CashLabel)/ConcDenom))</f>
        <v/>
      </c>
      <c r="S48" s="14">
        <f>IF($B48="","",IF($D48=CashLabel,"",SUMIFS($P$5:$P$204,$E$5:$E$204,$E48,$D$5:$D$204,"&lt;&gt;"&amp;CashLabel)/ConcDenom))</f>
        <v/>
      </c>
      <c r="T48" s="14">
        <f>IF($B48="","",IF($D48=CashLabel,"",SUMIFS($P$5:$P$204,$F$5:$F$204,$F48,$D$5:$D$204,"&lt;&gt;"&amp;CashLabel)/ConcDenom))</f>
        <v/>
      </c>
      <c r="U48" s="14">
        <f>IF($B48="","",IF($D48=CashLabel,"",SUMIFS($P$5:$P$204,$D$5:$D$204,$D48,$D$5:$D$204,"&lt;&gt;"&amp;CashLabel)/ConcDenom))</f>
        <v/>
      </c>
      <c r="V48" s="15">
        <f>IF($B48="","",IF($D48=CashLabel,1,IF($R48&gt;ThrSingle,ThrSingle/$R48,1)))</f>
        <v/>
      </c>
      <c r="W48" s="15">
        <f>IF($B48="","",IF($D48=CashLabel,1,IF($S48&gt;ThrIssuer,ThrIssuer/$S48,1)))</f>
        <v/>
      </c>
      <c r="X48" s="15">
        <f>IF($B48="","",IF($D48=CashLabel,1,IF($T48&gt;IFERROR(VLOOKUP($F48,CountryThr,2,FALSE),DefThrCountry),IFERROR(VLOOKUP($F48,CountryThr,2,FALSE),DefThrCountry)/$T48,1)))</f>
        <v/>
      </c>
      <c r="Y48" s="15">
        <f>IF($B48="","",IF($D48=CashLabel,1,IF($U48&gt;IFERROR(VLOOKUP($D48,LVTable,3,FALSE),DefThrAsset),IFERROR(VLOOKUP($D48,LVTable,3,FALSE),DefThrAsset)/$U48,1)))</f>
        <v/>
      </c>
      <c r="Z48" s="34">
        <f>IF($B48="","",IF($D48=CashLabel,1,MIN($V48:$Y48)))</f>
        <v/>
      </c>
      <c r="AA48" s="25">
        <f>IF($B48="","",$P48*$Z48)</f>
        <v/>
      </c>
      <c r="AB48" s="33">
        <f>IF($B48="","",$P48-$AA48)</f>
        <v/>
      </c>
      <c r="AC48" s="21" t="n"/>
      <c r="AD48" s="33">
        <f>IF($B48="","",$M48*(1+IF(ISNUMBER($AC48),$AC48,0)))</f>
        <v/>
      </c>
      <c r="AE48" s="33">
        <f>IF($B48="","",$AD48*$O48)</f>
        <v/>
      </c>
      <c r="AF48" s="14">
        <f>IF($B48="","",IF($D48=CashLabel,"",SUMIFS($AE$5:$AE$204,$B$5:$B$204,$B48,$D$5:$D$204,"&lt;&gt;"&amp;CashLabel)/ConcDenomStr))</f>
        <v/>
      </c>
      <c r="AG48" s="14">
        <f>IF($B48="","",IF($D48=CashLabel,"",SUMIFS($AE$5:$AE$204,$E$5:$E$204,$E48,$D$5:$D$204,"&lt;&gt;"&amp;CashLabel)/ConcDenomStr))</f>
        <v/>
      </c>
      <c r="AH48" s="14">
        <f>IF($B48="","",IF($D48=CashLabel,"",SUMIFS($AE$5:$AE$204,$F$5:$F$204,$F48,$D$5:$D$204,"&lt;&gt;"&amp;CashLabel)/ConcDenomStr))</f>
        <v/>
      </c>
      <c r="AI48" s="14">
        <f>IF($B48="","",IF($D48=CashLabel,"",SUMIFS($AE$5:$AE$204,$D$5:$D$204,$D48,$D$5:$D$204,"&lt;&gt;"&amp;CashLabel)/ConcDenomStr))</f>
        <v/>
      </c>
      <c r="AJ48" s="15">
        <f>IF($B48="","",IF($D48=CashLabel,1,MIN(IF($AF48&gt;ThrSingle,ThrSingle/$AF48,1),IF($AG48&gt;ThrIssuer,ThrIssuer/$AG48,1),IF($AH48&gt;IFERROR(VLOOKUP($F48,CountryThr,2,FALSE),DefThrCountry),IFERROR(VLOOKUP($F48,CountryThr,2,FALSE),DefThrCountry)/$AH48,1),IF($AI48&gt;IFERROR(VLOOKUP($D48,LVTable,3,FALSE),DefThrAsset),IFERROR(VLOOKUP($D48,LVTable,3,FALSE),DefThrAsset)/$AI48,1))))</f>
        <v/>
      </c>
      <c r="AK48" s="33">
        <f>IF($B48="","",$AE48*$AJ48)</f>
        <v/>
      </c>
    </row>
    <row r="49">
      <c r="A49" s="16">
        <f>IF($B49="","",ROW()-4)</f>
        <v/>
      </c>
      <c r="B49" s="20" t="n"/>
      <c r="C49" s="20" t="n"/>
      <c r="D49" s="20" t="n"/>
      <c r="E49" s="20" t="n"/>
      <c r="F49" s="20" t="n"/>
      <c r="G49" s="20" t="n"/>
      <c r="H49" s="30" t="n"/>
      <c r="I49" s="30" t="n"/>
      <c r="J49" s="30" t="n"/>
      <c r="K49" s="31">
        <f>IF($B49="","",IF(ISNUMBER($J49),$J49,$I49))</f>
        <v/>
      </c>
      <c r="L49" s="32">
        <f>IF($B49="","",IFERROR(VLOOKUP($G49,FXRates,4,FALSE),1))</f>
        <v/>
      </c>
      <c r="M49" s="33">
        <f>IF($B49="","",$H49*$K49*$L49)</f>
        <v/>
      </c>
      <c r="N49" s="21" t="n"/>
      <c r="O49" s="14">
        <f>IF($B49="","",IF($D49=CashLabel,IF(ISNUMBER($N49),$N49,1),MIN(IF(ISNUMBER($N49),$N49,IFERROR(VLOOKUP($D49,LVTable,2,FALSE),0)),LVCap)))</f>
        <v/>
      </c>
      <c r="P49" s="25">
        <f>IF($B49="","",$M49*$O49)</f>
        <v/>
      </c>
      <c r="Q49" s="16">
        <f>IF($B49="","",IFERROR(VLOOKUP($G49,FXRates,5,FALSE),$G49))</f>
        <v/>
      </c>
      <c r="R49" s="14">
        <f>IF($B49="","",IF($D49=CashLabel,"",SUMIFS($P$5:$P$204,$B$5:$B$204,$B49,$D$5:$D$204,"&lt;&gt;"&amp;CashLabel)/ConcDenom))</f>
        <v/>
      </c>
      <c r="S49" s="14">
        <f>IF($B49="","",IF($D49=CashLabel,"",SUMIFS($P$5:$P$204,$E$5:$E$204,$E49,$D$5:$D$204,"&lt;&gt;"&amp;CashLabel)/ConcDenom))</f>
        <v/>
      </c>
      <c r="T49" s="14">
        <f>IF($B49="","",IF($D49=CashLabel,"",SUMIFS($P$5:$P$204,$F$5:$F$204,$F49,$D$5:$D$204,"&lt;&gt;"&amp;CashLabel)/ConcDenom))</f>
        <v/>
      </c>
      <c r="U49" s="14">
        <f>IF($B49="","",IF($D49=CashLabel,"",SUMIFS($P$5:$P$204,$D$5:$D$204,$D49,$D$5:$D$204,"&lt;&gt;"&amp;CashLabel)/ConcDenom))</f>
        <v/>
      </c>
      <c r="V49" s="15">
        <f>IF($B49="","",IF($D49=CashLabel,1,IF($R49&gt;ThrSingle,ThrSingle/$R49,1)))</f>
        <v/>
      </c>
      <c r="W49" s="15">
        <f>IF($B49="","",IF($D49=CashLabel,1,IF($S49&gt;ThrIssuer,ThrIssuer/$S49,1)))</f>
        <v/>
      </c>
      <c r="X49" s="15">
        <f>IF($B49="","",IF($D49=CashLabel,1,IF($T49&gt;IFERROR(VLOOKUP($F49,CountryThr,2,FALSE),DefThrCountry),IFERROR(VLOOKUP($F49,CountryThr,2,FALSE),DefThrCountry)/$T49,1)))</f>
        <v/>
      </c>
      <c r="Y49" s="15">
        <f>IF($B49="","",IF($D49=CashLabel,1,IF($U49&gt;IFERROR(VLOOKUP($D49,LVTable,3,FALSE),DefThrAsset),IFERROR(VLOOKUP($D49,LVTable,3,FALSE),DefThrAsset)/$U49,1)))</f>
        <v/>
      </c>
      <c r="Z49" s="34">
        <f>IF($B49="","",IF($D49=CashLabel,1,MIN($V49:$Y49)))</f>
        <v/>
      </c>
      <c r="AA49" s="25">
        <f>IF($B49="","",$P49*$Z49)</f>
        <v/>
      </c>
      <c r="AB49" s="33">
        <f>IF($B49="","",$P49-$AA49)</f>
        <v/>
      </c>
      <c r="AC49" s="21" t="n"/>
      <c r="AD49" s="33">
        <f>IF($B49="","",$M49*(1+IF(ISNUMBER($AC49),$AC49,0)))</f>
        <v/>
      </c>
      <c r="AE49" s="33">
        <f>IF($B49="","",$AD49*$O49)</f>
        <v/>
      </c>
      <c r="AF49" s="14">
        <f>IF($B49="","",IF($D49=CashLabel,"",SUMIFS($AE$5:$AE$204,$B$5:$B$204,$B49,$D$5:$D$204,"&lt;&gt;"&amp;CashLabel)/ConcDenomStr))</f>
        <v/>
      </c>
      <c r="AG49" s="14">
        <f>IF($B49="","",IF($D49=CashLabel,"",SUMIFS($AE$5:$AE$204,$E$5:$E$204,$E49,$D$5:$D$204,"&lt;&gt;"&amp;CashLabel)/ConcDenomStr))</f>
        <v/>
      </c>
      <c r="AH49" s="14">
        <f>IF($B49="","",IF($D49=CashLabel,"",SUMIFS($AE$5:$AE$204,$F$5:$F$204,$F49,$D$5:$D$204,"&lt;&gt;"&amp;CashLabel)/ConcDenomStr))</f>
        <v/>
      </c>
      <c r="AI49" s="14">
        <f>IF($B49="","",IF($D49=CashLabel,"",SUMIFS($AE$5:$AE$204,$D$5:$D$204,$D49,$D$5:$D$204,"&lt;&gt;"&amp;CashLabel)/ConcDenomStr))</f>
        <v/>
      </c>
      <c r="AJ49" s="15">
        <f>IF($B49="","",IF($D49=CashLabel,1,MIN(IF($AF49&gt;ThrSingle,ThrSingle/$AF49,1),IF($AG49&gt;ThrIssuer,ThrIssuer/$AG49,1),IF($AH49&gt;IFERROR(VLOOKUP($F49,CountryThr,2,FALSE),DefThrCountry),IFERROR(VLOOKUP($F49,CountryThr,2,FALSE),DefThrCountry)/$AH49,1),IF($AI49&gt;IFERROR(VLOOKUP($D49,LVTable,3,FALSE),DefThrAsset),IFERROR(VLOOKUP($D49,LVTable,3,FALSE),DefThrAsset)/$AI49,1))))</f>
        <v/>
      </c>
      <c r="AK49" s="33">
        <f>IF($B49="","",$AE49*$AJ49)</f>
        <v/>
      </c>
    </row>
    <row r="50">
      <c r="A50" s="16">
        <f>IF($B50="","",ROW()-4)</f>
        <v/>
      </c>
      <c r="B50" s="20" t="n"/>
      <c r="C50" s="20" t="n"/>
      <c r="D50" s="20" t="n"/>
      <c r="E50" s="20" t="n"/>
      <c r="F50" s="20" t="n"/>
      <c r="G50" s="20" t="n"/>
      <c r="H50" s="30" t="n"/>
      <c r="I50" s="30" t="n"/>
      <c r="J50" s="30" t="n"/>
      <c r="K50" s="31">
        <f>IF($B50="","",IF(ISNUMBER($J50),$J50,$I50))</f>
        <v/>
      </c>
      <c r="L50" s="32">
        <f>IF($B50="","",IFERROR(VLOOKUP($G50,FXRates,4,FALSE),1))</f>
        <v/>
      </c>
      <c r="M50" s="33">
        <f>IF($B50="","",$H50*$K50*$L50)</f>
        <v/>
      </c>
      <c r="N50" s="21" t="n"/>
      <c r="O50" s="14">
        <f>IF($B50="","",IF($D50=CashLabel,IF(ISNUMBER($N50),$N50,1),MIN(IF(ISNUMBER($N50),$N50,IFERROR(VLOOKUP($D50,LVTable,2,FALSE),0)),LVCap)))</f>
        <v/>
      </c>
      <c r="P50" s="25">
        <f>IF($B50="","",$M50*$O50)</f>
        <v/>
      </c>
      <c r="Q50" s="16">
        <f>IF($B50="","",IFERROR(VLOOKUP($G50,FXRates,5,FALSE),$G50))</f>
        <v/>
      </c>
      <c r="R50" s="14">
        <f>IF($B50="","",IF($D50=CashLabel,"",SUMIFS($P$5:$P$204,$B$5:$B$204,$B50,$D$5:$D$204,"&lt;&gt;"&amp;CashLabel)/ConcDenom))</f>
        <v/>
      </c>
      <c r="S50" s="14">
        <f>IF($B50="","",IF($D50=CashLabel,"",SUMIFS($P$5:$P$204,$E$5:$E$204,$E50,$D$5:$D$204,"&lt;&gt;"&amp;CashLabel)/ConcDenom))</f>
        <v/>
      </c>
      <c r="T50" s="14">
        <f>IF($B50="","",IF($D50=CashLabel,"",SUMIFS($P$5:$P$204,$F$5:$F$204,$F50,$D$5:$D$204,"&lt;&gt;"&amp;CashLabel)/ConcDenom))</f>
        <v/>
      </c>
      <c r="U50" s="14">
        <f>IF($B50="","",IF($D50=CashLabel,"",SUMIFS($P$5:$P$204,$D$5:$D$204,$D50,$D$5:$D$204,"&lt;&gt;"&amp;CashLabel)/ConcDenom))</f>
        <v/>
      </c>
      <c r="V50" s="15">
        <f>IF($B50="","",IF($D50=CashLabel,1,IF($R50&gt;ThrSingle,ThrSingle/$R50,1)))</f>
        <v/>
      </c>
      <c r="W50" s="15">
        <f>IF($B50="","",IF($D50=CashLabel,1,IF($S50&gt;ThrIssuer,ThrIssuer/$S50,1)))</f>
        <v/>
      </c>
      <c r="X50" s="15">
        <f>IF($B50="","",IF($D50=CashLabel,1,IF($T50&gt;IFERROR(VLOOKUP($F50,CountryThr,2,FALSE),DefThrCountry),IFERROR(VLOOKUP($F50,CountryThr,2,FALSE),DefThrCountry)/$T50,1)))</f>
        <v/>
      </c>
      <c r="Y50" s="15">
        <f>IF($B50="","",IF($D50=CashLabel,1,IF($U50&gt;IFERROR(VLOOKUP($D50,LVTable,3,FALSE),DefThrAsset),IFERROR(VLOOKUP($D50,LVTable,3,FALSE),DefThrAsset)/$U50,1)))</f>
        <v/>
      </c>
      <c r="Z50" s="34">
        <f>IF($B50="","",IF($D50=CashLabel,1,MIN($V50:$Y50)))</f>
        <v/>
      </c>
      <c r="AA50" s="25">
        <f>IF($B50="","",$P50*$Z50)</f>
        <v/>
      </c>
      <c r="AB50" s="33">
        <f>IF($B50="","",$P50-$AA50)</f>
        <v/>
      </c>
      <c r="AC50" s="21" t="n"/>
      <c r="AD50" s="33">
        <f>IF($B50="","",$M50*(1+IF(ISNUMBER($AC50),$AC50,0)))</f>
        <v/>
      </c>
      <c r="AE50" s="33">
        <f>IF($B50="","",$AD50*$O50)</f>
        <v/>
      </c>
      <c r="AF50" s="14">
        <f>IF($B50="","",IF($D50=CashLabel,"",SUMIFS($AE$5:$AE$204,$B$5:$B$204,$B50,$D$5:$D$204,"&lt;&gt;"&amp;CashLabel)/ConcDenomStr))</f>
        <v/>
      </c>
      <c r="AG50" s="14">
        <f>IF($B50="","",IF($D50=CashLabel,"",SUMIFS($AE$5:$AE$204,$E$5:$E$204,$E50,$D$5:$D$204,"&lt;&gt;"&amp;CashLabel)/ConcDenomStr))</f>
        <v/>
      </c>
      <c r="AH50" s="14">
        <f>IF($B50="","",IF($D50=CashLabel,"",SUMIFS($AE$5:$AE$204,$F$5:$F$204,$F50,$D$5:$D$204,"&lt;&gt;"&amp;CashLabel)/ConcDenomStr))</f>
        <v/>
      </c>
      <c r="AI50" s="14">
        <f>IF($B50="","",IF($D50=CashLabel,"",SUMIFS($AE$5:$AE$204,$D$5:$D$204,$D50,$D$5:$D$204,"&lt;&gt;"&amp;CashLabel)/ConcDenomStr))</f>
        <v/>
      </c>
      <c r="AJ50" s="15">
        <f>IF($B50="","",IF($D50=CashLabel,1,MIN(IF($AF50&gt;ThrSingle,ThrSingle/$AF50,1),IF($AG50&gt;ThrIssuer,ThrIssuer/$AG50,1),IF($AH50&gt;IFERROR(VLOOKUP($F50,CountryThr,2,FALSE),DefThrCountry),IFERROR(VLOOKUP($F50,CountryThr,2,FALSE),DefThrCountry)/$AH50,1),IF($AI50&gt;IFERROR(VLOOKUP($D50,LVTable,3,FALSE),DefThrAsset),IFERROR(VLOOKUP($D50,LVTable,3,FALSE),DefThrAsset)/$AI50,1))))</f>
        <v/>
      </c>
      <c r="AK50" s="33">
        <f>IF($B50="","",$AE50*$AJ50)</f>
        <v/>
      </c>
    </row>
    <row r="51">
      <c r="A51" s="16">
        <f>IF($B51="","",ROW()-4)</f>
        <v/>
      </c>
      <c r="B51" s="20" t="n"/>
      <c r="C51" s="20" t="n"/>
      <c r="D51" s="20" t="n"/>
      <c r="E51" s="20" t="n"/>
      <c r="F51" s="20" t="n"/>
      <c r="G51" s="20" t="n"/>
      <c r="H51" s="30" t="n"/>
      <c r="I51" s="30" t="n"/>
      <c r="J51" s="30" t="n"/>
      <c r="K51" s="31">
        <f>IF($B51="","",IF(ISNUMBER($J51),$J51,$I51))</f>
        <v/>
      </c>
      <c r="L51" s="32">
        <f>IF($B51="","",IFERROR(VLOOKUP($G51,FXRates,4,FALSE),1))</f>
        <v/>
      </c>
      <c r="M51" s="33">
        <f>IF($B51="","",$H51*$K51*$L51)</f>
        <v/>
      </c>
      <c r="N51" s="21" t="n"/>
      <c r="O51" s="14">
        <f>IF($B51="","",IF($D51=CashLabel,IF(ISNUMBER($N51),$N51,1),MIN(IF(ISNUMBER($N51),$N51,IFERROR(VLOOKUP($D51,LVTable,2,FALSE),0)),LVCap)))</f>
        <v/>
      </c>
      <c r="P51" s="25">
        <f>IF($B51="","",$M51*$O51)</f>
        <v/>
      </c>
      <c r="Q51" s="16">
        <f>IF($B51="","",IFERROR(VLOOKUP($G51,FXRates,5,FALSE),$G51))</f>
        <v/>
      </c>
      <c r="R51" s="14">
        <f>IF($B51="","",IF($D51=CashLabel,"",SUMIFS($P$5:$P$204,$B$5:$B$204,$B51,$D$5:$D$204,"&lt;&gt;"&amp;CashLabel)/ConcDenom))</f>
        <v/>
      </c>
      <c r="S51" s="14">
        <f>IF($B51="","",IF($D51=CashLabel,"",SUMIFS($P$5:$P$204,$E$5:$E$204,$E51,$D$5:$D$204,"&lt;&gt;"&amp;CashLabel)/ConcDenom))</f>
        <v/>
      </c>
      <c r="T51" s="14">
        <f>IF($B51="","",IF($D51=CashLabel,"",SUMIFS($P$5:$P$204,$F$5:$F$204,$F51,$D$5:$D$204,"&lt;&gt;"&amp;CashLabel)/ConcDenom))</f>
        <v/>
      </c>
      <c r="U51" s="14">
        <f>IF($B51="","",IF($D51=CashLabel,"",SUMIFS($P$5:$P$204,$D$5:$D$204,$D51,$D$5:$D$204,"&lt;&gt;"&amp;CashLabel)/ConcDenom))</f>
        <v/>
      </c>
      <c r="V51" s="15">
        <f>IF($B51="","",IF($D51=CashLabel,1,IF($R51&gt;ThrSingle,ThrSingle/$R51,1)))</f>
        <v/>
      </c>
      <c r="W51" s="15">
        <f>IF($B51="","",IF($D51=CashLabel,1,IF($S51&gt;ThrIssuer,ThrIssuer/$S51,1)))</f>
        <v/>
      </c>
      <c r="X51" s="15">
        <f>IF($B51="","",IF($D51=CashLabel,1,IF($T51&gt;IFERROR(VLOOKUP($F51,CountryThr,2,FALSE),DefThrCountry),IFERROR(VLOOKUP($F51,CountryThr,2,FALSE),DefThrCountry)/$T51,1)))</f>
        <v/>
      </c>
      <c r="Y51" s="15">
        <f>IF($B51="","",IF($D51=CashLabel,1,IF($U51&gt;IFERROR(VLOOKUP($D51,LVTable,3,FALSE),DefThrAsset),IFERROR(VLOOKUP($D51,LVTable,3,FALSE),DefThrAsset)/$U51,1)))</f>
        <v/>
      </c>
      <c r="Z51" s="34">
        <f>IF($B51="","",IF($D51=CashLabel,1,MIN($V51:$Y51)))</f>
        <v/>
      </c>
      <c r="AA51" s="25">
        <f>IF($B51="","",$P51*$Z51)</f>
        <v/>
      </c>
      <c r="AB51" s="33">
        <f>IF($B51="","",$P51-$AA51)</f>
        <v/>
      </c>
      <c r="AC51" s="21" t="n"/>
      <c r="AD51" s="33">
        <f>IF($B51="","",$M51*(1+IF(ISNUMBER($AC51),$AC51,0)))</f>
        <v/>
      </c>
      <c r="AE51" s="33">
        <f>IF($B51="","",$AD51*$O51)</f>
        <v/>
      </c>
      <c r="AF51" s="14">
        <f>IF($B51="","",IF($D51=CashLabel,"",SUMIFS($AE$5:$AE$204,$B$5:$B$204,$B51,$D$5:$D$204,"&lt;&gt;"&amp;CashLabel)/ConcDenomStr))</f>
        <v/>
      </c>
      <c r="AG51" s="14">
        <f>IF($B51="","",IF($D51=CashLabel,"",SUMIFS($AE$5:$AE$204,$E$5:$E$204,$E51,$D$5:$D$204,"&lt;&gt;"&amp;CashLabel)/ConcDenomStr))</f>
        <v/>
      </c>
      <c r="AH51" s="14">
        <f>IF($B51="","",IF($D51=CashLabel,"",SUMIFS($AE$5:$AE$204,$F$5:$F$204,$F51,$D$5:$D$204,"&lt;&gt;"&amp;CashLabel)/ConcDenomStr))</f>
        <v/>
      </c>
      <c r="AI51" s="14">
        <f>IF($B51="","",IF($D51=CashLabel,"",SUMIFS($AE$5:$AE$204,$D$5:$D$204,$D51,$D$5:$D$204,"&lt;&gt;"&amp;CashLabel)/ConcDenomStr))</f>
        <v/>
      </c>
      <c r="AJ51" s="15">
        <f>IF($B51="","",IF($D51=CashLabel,1,MIN(IF($AF51&gt;ThrSingle,ThrSingle/$AF51,1),IF($AG51&gt;ThrIssuer,ThrIssuer/$AG51,1),IF($AH51&gt;IFERROR(VLOOKUP($F51,CountryThr,2,FALSE),DefThrCountry),IFERROR(VLOOKUP($F51,CountryThr,2,FALSE),DefThrCountry)/$AH51,1),IF($AI51&gt;IFERROR(VLOOKUP($D51,LVTable,3,FALSE),DefThrAsset),IFERROR(VLOOKUP($D51,LVTable,3,FALSE),DefThrAsset)/$AI51,1))))</f>
        <v/>
      </c>
      <c r="AK51" s="33">
        <f>IF($B51="","",$AE51*$AJ51)</f>
        <v/>
      </c>
    </row>
    <row r="52">
      <c r="A52" s="16">
        <f>IF($B52="","",ROW()-4)</f>
        <v/>
      </c>
      <c r="B52" s="20" t="n"/>
      <c r="C52" s="20" t="n"/>
      <c r="D52" s="20" t="n"/>
      <c r="E52" s="20" t="n"/>
      <c r="F52" s="20" t="n"/>
      <c r="G52" s="20" t="n"/>
      <c r="H52" s="30" t="n"/>
      <c r="I52" s="30" t="n"/>
      <c r="J52" s="30" t="n"/>
      <c r="K52" s="31">
        <f>IF($B52="","",IF(ISNUMBER($J52),$J52,$I52))</f>
        <v/>
      </c>
      <c r="L52" s="32">
        <f>IF($B52="","",IFERROR(VLOOKUP($G52,FXRates,4,FALSE),1))</f>
        <v/>
      </c>
      <c r="M52" s="33">
        <f>IF($B52="","",$H52*$K52*$L52)</f>
        <v/>
      </c>
      <c r="N52" s="21" t="n"/>
      <c r="O52" s="14">
        <f>IF($B52="","",IF($D52=CashLabel,IF(ISNUMBER($N52),$N52,1),MIN(IF(ISNUMBER($N52),$N52,IFERROR(VLOOKUP($D52,LVTable,2,FALSE),0)),LVCap)))</f>
        <v/>
      </c>
      <c r="P52" s="25">
        <f>IF($B52="","",$M52*$O52)</f>
        <v/>
      </c>
      <c r="Q52" s="16">
        <f>IF($B52="","",IFERROR(VLOOKUP($G52,FXRates,5,FALSE),$G52))</f>
        <v/>
      </c>
      <c r="R52" s="14">
        <f>IF($B52="","",IF($D52=CashLabel,"",SUMIFS($P$5:$P$204,$B$5:$B$204,$B52,$D$5:$D$204,"&lt;&gt;"&amp;CashLabel)/ConcDenom))</f>
        <v/>
      </c>
      <c r="S52" s="14">
        <f>IF($B52="","",IF($D52=CashLabel,"",SUMIFS($P$5:$P$204,$E$5:$E$204,$E52,$D$5:$D$204,"&lt;&gt;"&amp;CashLabel)/ConcDenom))</f>
        <v/>
      </c>
      <c r="T52" s="14">
        <f>IF($B52="","",IF($D52=CashLabel,"",SUMIFS($P$5:$P$204,$F$5:$F$204,$F52,$D$5:$D$204,"&lt;&gt;"&amp;CashLabel)/ConcDenom))</f>
        <v/>
      </c>
      <c r="U52" s="14">
        <f>IF($B52="","",IF($D52=CashLabel,"",SUMIFS($P$5:$P$204,$D$5:$D$204,$D52,$D$5:$D$204,"&lt;&gt;"&amp;CashLabel)/ConcDenom))</f>
        <v/>
      </c>
      <c r="V52" s="15">
        <f>IF($B52="","",IF($D52=CashLabel,1,IF($R52&gt;ThrSingle,ThrSingle/$R52,1)))</f>
        <v/>
      </c>
      <c r="W52" s="15">
        <f>IF($B52="","",IF($D52=CashLabel,1,IF($S52&gt;ThrIssuer,ThrIssuer/$S52,1)))</f>
        <v/>
      </c>
      <c r="X52" s="15">
        <f>IF($B52="","",IF($D52=CashLabel,1,IF($T52&gt;IFERROR(VLOOKUP($F52,CountryThr,2,FALSE),DefThrCountry),IFERROR(VLOOKUP($F52,CountryThr,2,FALSE),DefThrCountry)/$T52,1)))</f>
        <v/>
      </c>
      <c r="Y52" s="15">
        <f>IF($B52="","",IF($D52=CashLabel,1,IF($U52&gt;IFERROR(VLOOKUP($D52,LVTable,3,FALSE),DefThrAsset),IFERROR(VLOOKUP($D52,LVTable,3,FALSE),DefThrAsset)/$U52,1)))</f>
        <v/>
      </c>
      <c r="Z52" s="34">
        <f>IF($B52="","",IF($D52=CashLabel,1,MIN($V52:$Y52)))</f>
        <v/>
      </c>
      <c r="AA52" s="25">
        <f>IF($B52="","",$P52*$Z52)</f>
        <v/>
      </c>
      <c r="AB52" s="33">
        <f>IF($B52="","",$P52-$AA52)</f>
        <v/>
      </c>
      <c r="AC52" s="21" t="n"/>
      <c r="AD52" s="33">
        <f>IF($B52="","",$M52*(1+IF(ISNUMBER($AC52),$AC52,0)))</f>
        <v/>
      </c>
      <c r="AE52" s="33">
        <f>IF($B52="","",$AD52*$O52)</f>
        <v/>
      </c>
      <c r="AF52" s="14">
        <f>IF($B52="","",IF($D52=CashLabel,"",SUMIFS($AE$5:$AE$204,$B$5:$B$204,$B52,$D$5:$D$204,"&lt;&gt;"&amp;CashLabel)/ConcDenomStr))</f>
        <v/>
      </c>
      <c r="AG52" s="14">
        <f>IF($B52="","",IF($D52=CashLabel,"",SUMIFS($AE$5:$AE$204,$E$5:$E$204,$E52,$D$5:$D$204,"&lt;&gt;"&amp;CashLabel)/ConcDenomStr))</f>
        <v/>
      </c>
      <c r="AH52" s="14">
        <f>IF($B52="","",IF($D52=CashLabel,"",SUMIFS($AE$5:$AE$204,$F$5:$F$204,$F52,$D$5:$D$204,"&lt;&gt;"&amp;CashLabel)/ConcDenomStr))</f>
        <v/>
      </c>
      <c r="AI52" s="14">
        <f>IF($B52="","",IF($D52=CashLabel,"",SUMIFS($AE$5:$AE$204,$D$5:$D$204,$D52,$D$5:$D$204,"&lt;&gt;"&amp;CashLabel)/ConcDenomStr))</f>
        <v/>
      </c>
      <c r="AJ52" s="15">
        <f>IF($B52="","",IF($D52=CashLabel,1,MIN(IF($AF52&gt;ThrSingle,ThrSingle/$AF52,1),IF($AG52&gt;ThrIssuer,ThrIssuer/$AG52,1),IF($AH52&gt;IFERROR(VLOOKUP($F52,CountryThr,2,FALSE),DefThrCountry),IFERROR(VLOOKUP($F52,CountryThr,2,FALSE),DefThrCountry)/$AH52,1),IF($AI52&gt;IFERROR(VLOOKUP($D52,LVTable,3,FALSE),DefThrAsset),IFERROR(VLOOKUP($D52,LVTable,3,FALSE),DefThrAsset)/$AI52,1))))</f>
        <v/>
      </c>
      <c r="AK52" s="33">
        <f>IF($B52="","",$AE52*$AJ52)</f>
        <v/>
      </c>
    </row>
    <row r="53">
      <c r="A53" s="16">
        <f>IF($B53="","",ROW()-4)</f>
        <v/>
      </c>
      <c r="B53" s="20" t="n"/>
      <c r="C53" s="20" t="n"/>
      <c r="D53" s="20" t="n"/>
      <c r="E53" s="20" t="n"/>
      <c r="F53" s="20" t="n"/>
      <c r="G53" s="20" t="n"/>
      <c r="H53" s="30" t="n"/>
      <c r="I53" s="30" t="n"/>
      <c r="J53" s="30" t="n"/>
      <c r="K53" s="31">
        <f>IF($B53="","",IF(ISNUMBER($J53),$J53,$I53))</f>
        <v/>
      </c>
      <c r="L53" s="32">
        <f>IF($B53="","",IFERROR(VLOOKUP($G53,FXRates,4,FALSE),1))</f>
        <v/>
      </c>
      <c r="M53" s="33">
        <f>IF($B53="","",$H53*$K53*$L53)</f>
        <v/>
      </c>
      <c r="N53" s="21" t="n"/>
      <c r="O53" s="14">
        <f>IF($B53="","",IF($D53=CashLabel,IF(ISNUMBER($N53),$N53,1),MIN(IF(ISNUMBER($N53),$N53,IFERROR(VLOOKUP($D53,LVTable,2,FALSE),0)),LVCap)))</f>
        <v/>
      </c>
      <c r="P53" s="25">
        <f>IF($B53="","",$M53*$O53)</f>
        <v/>
      </c>
      <c r="Q53" s="16">
        <f>IF($B53="","",IFERROR(VLOOKUP($G53,FXRates,5,FALSE),$G53))</f>
        <v/>
      </c>
      <c r="R53" s="14">
        <f>IF($B53="","",IF($D53=CashLabel,"",SUMIFS($P$5:$P$204,$B$5:$B$204,$B53,$D$5:$D$204,"&lt;&gt;"&amp;CashLabel)/ConcDenom))</f>
        <v/>
      </c>
      <c r="S53" s="14">
        <f>IF($B53="","",IF($D53=CashLabel,"",SUMIFS($P$5:$P$204,$E$5:$E$204,$E53,$D$5:$D$204,"&lt;&gt;"&amp;CashLabel)/ConcDenom))</f>
        <v/>
      </c>
      <c r="T53" s="14">
        <f>IF($B53="","",IF($D53=CashLabel,"",SUMIFS($P$5:$P$204,$F$5:$F$204,$F53,$D$5:$D$204,"&lt;&gt;"&amp;CashLabel)/ConcDenom))</f>
        <v/>
      </c>
      <c r="U53" s="14">
        <f>IF($B53="","",IF($D53=CashLabel,"",SUMIFS($P$5:$P$204,$D$5:$D$204,$D53,$D$5:$D$204,"&lt;&gt;"&amp;CashLabel)/ConcDenom))</f>
        <v/>
      </c>
      <c r="V53" s="15">
        <f>IF($B53="","",IF($D53=CashLabel,1,IF($R53&gt;ThrSingle,ThrSingle/$R53,1)))</f>
        <v/>
      </c>
      <c r="W53" s="15">
        <f>IF($B53="","",IF($D53=CashLabel,1,IF($S53&gt;ThrIssuer,ThrIssuer/$S53,1)))</f>
        <v/>
      </c>
      <c r="X53" s="15">
        <f>IF($B53="","",IF($D53=CashLabel,1,IF($T53&gt;IFERROR(VLOOKUP($F53,CountryThr,2,FALSE),DefThrCountry),IFERROR(VLOOKUP($F53,CountryThr,2,FALSE),DefThrCountry)/$T53,1)))</f>
        <v/>
      </c>
      <c r="Y53" s="15">
        <f>IF($B53="","",IF($D53=CashLabel,1,IF($U53&gt;IFERROR(VLOOKUP($D53,LVTable,3,FALSE),DefThrAsset),IFERROR(VLOOKUP($D53,LVTable,3,FALSE),DefThrAsset)/$U53,1)))</f>
        <v/>
      </c>
      <c r="Z53" s="34">
        <f>IF($B53="","",IF($D53=CashLabel,1,MIN($V53:$Y53)))</f>
        <v/>
      </c>
      <c r="AA53" s="25">
        <f>IF($B53="","",$P53*$Z53)</f>
        <v/>
      </c>
      <c r="AB53" s="33">
        <f>IF($B53="","",$P53-$AA53)</f>
        <v/>
      </c>
      <c r="AC53" s="21" t="n"/>
      <c r="AD53" s="33">
        <f>IF($B53="","",$M53*(1+IF(ISNUMBER($AC53),$AC53,0)))</f>
        <v/>
      </c>
      <c r="AE53" s="33">
        <f>IF($B53="","",$AD53*$O53)</f>
        <v/>
      </c>
      <c r="AF53" s="14">
        <f>IF($B53="","",IF($D53=CashLabel,"",SUMIFS($AE$5:$AE$204,$B$5:$B$204,$B53,$D$5:$D$204,"&lt;&gt;"&amp;CashLabel)/ConcDenomStr))</f>
        <v/>
      </c>
      <c r="AG53" s="14">
        <f>IF($B53="","",IF($D53=CashLabel,"",SUMIFS($AE$5:$AE$204,$E$5:$E$204,$E53,$D$5:$D$204,"&lt;&gt;"&amp;CashLabel)/ConcDenomStr))</f>
        <v/>
      </c>
      <c r="AH53" s="14">
        <f>IF($B53="","",IF($D53=CashLabel,"",SUMIFS($AE$5:$AE$204,$F$5:$F$204,$F53,$D$5:$D$204,"&lt;&gt;"&amp;CashLabel)/ConcDenomStr))</f>
        <v/>
      </c>
      <c r="AI53" s="14">
        <f>IF($B53="","",IF($D53=CashLabel,"",SUMIFS($AE$5:$AE$204,$D$5:$D$204,$D53,$D$5:$D$204,"&lt;&gt;"&amp;CashLabel)/ConcDenomStr))</f>
        <v/>
      </c>
      <c r="AJ53" s="15">
        <f>IF($B53="","",IF($D53=CashLabel,1,MIN(IF($AF53&gt;ThrSingle,ThrSingle/$AF53,1),IF($AG53&gt;ThrIssuer,ThrIssuer/$AG53,1),IF($AH53&gt;IFERROR(VLOOKUP($F53,CountryThr,2,FALSE),DefThrCountry),IFERROR(VLOOKUP($F53,CountryThr,2,FALSE),DefThrCountry)/$AH53,1),IF($AI53&gt;IFERROR(VLOOKUP($D53,LVTable,3,FALSE),DefThrAsset),IFERROR(VLOOKUP($D53,LVTable,3,FALSE),DefThrAsset)/$AI53,1))))</f>
        <v/>
      </c>
      <c r="AK53" s="33">
        <f>IF($B53="","",$AE53*$AJ53)</f>
        <v/>
      </c>
    </row>
    <row r="54">
      <c r="A54" s="16">
        <f>IF($B54="","",ROW()-4)</f>
        <v/>
      </c>
      <c r="B54" s="20" t="n"/>
      <c r="C54" s="20" t="n"/>
      <c r="D54" s="20" t="n"/>
      <c r="E54" s="20" t="n"/>
      <c r="F54" s="20" t="n"/>
      <c r="G54" s="20" t="n"/>
      <c r="H54" s="30" t="n"/>
      <c r="I54" s="30" t="n"/>
      <c r="J54" s="30" t="n"/>
      <c r="K54" s="31">
        <f>IF($B54="","",IF(ISNUMBER($J54),$J54,$I54))</f>
        <v/>
      </c>
      <c r="L54" s="32">
        <f>IF($B54="","",IFERROR(VLOOKUP($G54,FXRates,4,FALSE),1))</f>
        <v/>
      </c>
      <c r="M54" s="33">
        <f>IF($B54="","",$H54*$K54*$L54)</f>
        <v/>
      </c>
      <c r="N54" s="21" t="n"/>
      <c r="O54" s="14">
        <f>IF($B54="","",IF($D54=CashLabel,IF(ISNUMBER($N54),$N54,1),MIN(IF(ISNUMBER($N54),$N54,IFERROR(VLOOKUP($D54,LVTable,2,FALSE),0)),LVCap)))</f>
        <v/>
      </c>
      <c r="P54" s="25">
        <f>IF($B54="","",$M54*$O54)</f>
        <v/>
      </c>
      <c r="Q54" s="16">
        <f>IF($B54="","",IFERROR(VLOOKUP($G54,FXRates,5,FALSE),$G54))</f>
        <v/>
      </c>
      <c r="R54" s="14">
        <f>IF($B54="","",IF($D54=CashLabel,"",SUMIFS($P$5:$P$204,$B$5:$B$204,$B54,$D$5:$D$204,"&lt;&gt;"&amp;CashLabel)/ConcDenom))</f>
        <v/>
      </c>
      <c r="S54" s="14">
        <f>IF($B54="","",IF($D54=CashLabel,"",SUMIFS($P$5:$P$204,$E$5:$E$204,$E54,$D$5:$D$204,"&lt;&gt;"&amp;CashLabel)/ConcDenom))</f>
        <v/>
      </c>
      <c r="T54" s="14">
        <f>IF($B54="","",IF($D54=CashLabel,"",SUMIFS($P$5:$P$204,$F$5:$F$204,$F54,$D$5:$D$204,"&lt;&gt;"&amp;CashLabel)/ConcDenom))</f>
        <v/>
      </c>
      <c r="U54" s="14">
        <f>IF($B54="","",IF($D54=CashLabel,"",SUMIFS($P$5:$P$204,$D$5:$D$204,$D54,$D$5:$D$204,"&lt;&gt;"&amp;CashLabel)/ConcDenom))</f>
        <v/>
      </c>
      <c r="V54" s="15">
        <f>IF($B54="","",IF($D54=CashLabel,1,IF($R54&gt;ThrSingle,ThrSingle/$R54,1)))</f>
        <v/>
      </c>
      <c r="W54" s="15">
        <f>IF($B54="","",IF($D54=CashLabel,1,IF($S54&gt;ThrIssuer,ThrIssuer/$S54,1)))</f>
        <v/>
      </c>
      <c r="X54" s="15">
        <f>IF($B54="","",IF($D54=CashLabel,1,IF($T54&gt;IFERROR(VLOOKUP($F54,CountryThr,2,FALSE),DefThrCountry),IFERROR(VLOOKUP($F54,CountryThr,2,FALSE),DefThrCountry)/$T54,1)))</f>
        <v/>
      </c>
      <c r="Y54" s="15">
        <f>IF($B54="","",IF($D54=CashLabel,1,IF($U54&gt;IFERROR(VLOOKUP($D54,LVTable,3,FALSE),DefThrAsset),IFERROR(VLOOKUP($D54,LVTable,3,FALSE),DefThrAsset)/$U54,1)))</f>
        <v/>
      </c>
      <c r="Z54" s="34">
        <f>IF($B54="","",IF($D54=CashLabel,1,MIN($V54:$Y54)))</f>
        <v/>
      </c>
      <c r="AA54" s="25">
        <f>IF($B54="","",$P54*$Z54)</f>
        <v/>
      </c>
      <c r="AB54" s="33">
        <f>IF($B54="","",$P54-$AA54)</f>
        <v/>
      </c>
      <c r="AC54" s="21" t="n"/>
      <c r="AD54" s="33">
        <f>IF($B54="","",$M54*(1+IF(ISNUMBER($AC54),$AC54,0)))</f>
        <v/>
      </c>
      <c r="AE54" s="33">
        <f>IF($B54="","",$AD54*$O54)</f>
        <v/>
      </c>
      <c r="AF54" s="14">
        <f>IF($B54="","",IF($D54=CashLabel,"",SUMIFS($AE$5:$AE$204,$B$5:$B$204,$B54,$D$5:$D$204,"&lt;&gt;"&amp;CashLabel)/ConcDenomStr))</f>
        <v/>
      </c>
      <c r="AG54" s="14">
        <f>IF($B54="","",IF($D54=CashLabel,"",SUMIFS($AE$5:$AE$204,$E$5:$E$204,$E54,$D$5:$D$204,"&lt;&gt;"&amp;CashLabel)/ConcDenomStr))</f>
        <v/>
      </c>
      <c r="AH54" s="14">
        <f>IF($B54="","",IF($D54=CashLabel,"",SUMIFS($AE$5:$AE$204,$F$5:$F$204,$F54,$D$5:$D$204,"&lt;&gt;"&amp;CashLabel)/ConcDenomStr))</f>
        <v/>
      </c>
      <c r="AI54" s="14">
        <f>IF($B54="","",IF($D54=CashLabel,"",SUMIFS($AE$5:$AE$204,$D$5:$D$204,$D54,$D$5:$D$204,"&lt;&gt;"&amp;CashLabel)/ConcDenomStr))</f>
        <v/>
      </c>
      <c r="AJ54" s="15">
        <f>IF($B54="","",IF($D54=CashLabel,1,MIN(IF($AF54&gt;ThrSingle,ThrSingle/$AF54,1),IF($AG54&gt;ThrIssuer,ThrIssuer/$AG54,1),IF($AH54&gt;IFERROR(VLOOKUP($F54,CountryThr,2,FALSE),DefThrCountry),IFERROR(VLOOKUP($F54,CountryThr,2,FALSE),DefThrCountry)/$AH54,1),IF($AI54&gt;IFERROR(VLOOKUP($D54,LVTable,3,FALSE),DefThrAsset),IFERROR(VLOOKUP($D54,LVTable,3,FALSE),DefThrAsset)/$AI54,1))))</f>
        <v/>
      </c>
      <c r="AK54" s="33">
        <f>IF($B54="","",$AE54*$AJ54)</f>
        <v/>
      </c>
    </row>
    <row r="55">
      <c r="A55" s="16">
        <f>IF($B55="","",ROW()-4)</f>
        <v/>
      </c>
      <c r="B55" s="20" t="n"/>
      <c r="C55" s="20" t="n"/>
      <c r="D55" s="20" t="n"/>
      <c r="E55" s="20" t="n"/>
      <c r="F55" s="20" t="n"/>
      <c r="G55" s="20" t="n"/>
      <c r="H55" s="30" t="n"/>
      <c r="I55" s="30" t="n"/>
      <c r="J55" s="30" t="n"/>
      <c r="K55" s="31">
        <f>IF($B55="","",IF(ISNUMBER($J55),$J55,$I55))</f>
        <v/>
      </c>
      <c r="L55" s="32">
        <f>IF($B55="","",IFERROR(VLOOKUP($G55,FXRates,4,FALSE),1))</f>
        <v/>
      </c>
      <c r="M55" s="33">
        <f>IF($B55="","",$H55*$K55*$L55)</f>
        <v/>
      </c>
      <c r="N55" s="21" t="n"/>
      <c r="O55" s="14">
        <f>IF($B55="","",IF($D55=CashLabel,IF(ISNUMBER($N55),$N55,1),MIN(IF(ISNUMBER($N55),$N55,IFERROR(VLOOKUP($D55,LVTable,2,FALSE),0)),LVCap)))</f>
        <v/>
      </c>
      <c r="P55" s="25">
        <f>IF($B55="","",$M55*$O55)</f>
        <v/>
      </c>
      <c r="Q55" s="16">
        <f>IF($B55="","",IFERROR(VLOOKUP($G55,FXRates,5,FALSE),$G55))</f>
        <v/>
      </c>
      <c r="R55" s="14">
        <f>IF($B55="","",IF($D55=CashLabel,"",SUMIFS($P$5:$P$204,$B$5:$B$204,$B55,$D$5:$D$204,"&lt;&gt;"&amp;CashLabel)/ConcDenom))</f>
        <v/>
      </c>
      <c r="S55" s="14">
        <f>IF($B55="","",IF($D55=CashLabel,"",SUMIFS($P$5:$P$204,$E$5:$E$204,$E55,$D$5:$D$204,"&lt;&gt;"&amp;CashLabel)/ConcDenom))</f>
        <v/>
      </c>
      <c r="T55" s="14">
        <f>IF($B55="","",IF($D55=CashLabel,"",SUMIFS($P$5:$P$204,$F$5:$F$204,$F55,$D$5:$D$204,"&lt;&gt;"&amp;CashLabel)/ConcDenom))</f>
        <v/>
      </c>
      <c r="U55" s="14">
        <f>IF($B55="","",IF($D55=CashLabel,"",SUMIFS($P$5:$P$204,$D$5:$D$204,$D55,$D$5:$D$204,"&lt;&gt;"&amp;CashLabel)/ConcDenom))</f>
        <v/>
      </c>
      <c r="V55" s="15">
        <f>IF($B55="","",IF($D55=CashLabel,1,IF($R55&gt;ThrSingle,ThrSingle/$R55,1)))</f>
        <v/>
      </c>
      <c r="W55" s="15">
        <f>IF($B55="","",IF($D55=CashLabel,1,IF($S55&gt;ThrIssuer,ThrIssuer/$S55,1)))</f>
        <v/>
      </c>
      <c r="X55" s="15">
        <f>IF($B55="","",IF($D55=CashLabel,1,IF($T55&gt;IFERROR(VLOOKUP($F55,CountryThr,2,FALSE),DefThrCountry),IFERROR(VLOOKUP($F55,CountryThr,2,FALSE),DefThrCountry)/$T55,1)))</f>
        <v/>
      </c>
      <c r="Y55" s="15">
        <f>IF($B55="","",IF($D55=CashLabel,1,IF($U55&gt;IFERROR(VLOOKUP($D55,LVTable,3,FALSE),DefThrAsset),IFERROR(VLOOKUP($D55,LVTable,3,FALSE),DefThrAsset)/$U55,1)))</f>
        <v/>
      </c>
      <c r="Z55" s="34">
        <f>IF($B55="","",IF($D55=CashLabel,1,MIN($V55:$Y55)))</f>
        <v/>
      </c>
      <c r="AA55" s="25">
        <f>IF($B55="","",$P55*$Z55)</f>
        <v/>
      </c>
      <c r="AB55" s="33">
        <f>IF($B55="","",$P55-$AA55)</f>
        <v/>
      </c>
      <c r="AC55" s="21" t="n"/>
      <c r="AD55" s="33">
        <f>IF($B55="","",$M55*(1+IF(ISNUMBER($AC55),$AC55,0)))</f>
        <v/>
      </c>
      <c r="AE55" s="33">
        <f>IF($B55="","",$AD55*$O55)</f>
        <v/>
      </c>
      <c r="AF55" s="14">
        <f>IF($B55="","",IF($D55=CashLabel,"",SUMIFS($AE$5:$AE$204,$B$5:$B$204,$B55,$D$5:$D$204,"&lt;&gt;"&amp;CashLabel)/ConcDenomStr))</f>
        <v/>
      </c>
      <c r="AG55" s="14">
        <f>IF($B55="","",IF($D55=CashLabel,"",SUMIFS($AE$5:$AE$204,$E$5:$E$204,$E55,$D$5:$D$204,"&lt;&gt;"&amp;CashLabel)/ConcDenomStr))</f>
        <v/>
      </c>
      <c r="AH55" s="14">
        <f>IF($B55="","",IF($D55=CashLabel,"",SUMIFS($AE$5:$AE$204,$F$5:$F$204,$F55,$D$5:$D$204,"&lt;&gt;"&amp;CashLabel)/ConcDenomStr))</f>
        <v/>
      </c>
      <c r="AI55" s="14">
        <f>IF($B55="","",IF($D55=CashLabel,"",SUMIFS($AE$5:$AE$204,$D$5:$D$204,$D55,$D$5:$D$204,"&lt;&gt;"&amp;CashLabel)/ConcDenomStr))</f>
        <v/>
      </c>
      <c r="AJ55" s="15">
        <f>IF($B55="","",IF($D55=CashLabel,1,MIN(IF($AF55&gt;ThrSingle,ThrSingle/$AF55,1),IF($AG55&gt;ThrIssuer,ThrIssuer/$AG55,1),IF($AH55&gt;IFERROR(VLOOKUP($F55,CountryThr,2,FALSE),DefThrCountry),IFERROR(VLOOKUP($F55,CountryThr,2,FALSE),DefThrCountry)/$AH55,1),IF($AI55&gt;IFERROR(VLOOKUP($D55,LVTable,3,FALSE),DefThrAsset),IFERROR(VLOOKUP($D55,LVTable,3,FALSE),DefThrAsset)/$AI55,1))))</f>
        <v/>
      </c>
      <c r="AK55" s="33">
        <f>IF($B55="","",$AE55*$AJ55)</f>
        <v/>
      </c>
    </row>
    <row r="56">
      <c r="A56" s="16">
        <f>IF($B56="","",ROW()-4)</f>
        <v/>
      </c>
      <c r="B56" s="20" t="n"/>
      <c r="C56" s="20" t="n"/>
      <c r="D56" s="20" t="n"/>
      <c r="E56" s="20" t="n"/>
      <c r="F56" s="20" t="n"/>
      <c r="G56" s="20" t="n"/>
      <c r="H56" s="30" t="n"/>
      <c r="I56" s="30" t="n"/>
      <c r="J56" s="30" t="n"/>
      <c r="K56" s="31">
        <f>IF($B56="","",IF(ISNUMBER($J56),$J56,$I56))</f>
        <v/>
      </c>
      <c r="L56" s="32">
        <f>IF($B56="","",IFERROR(VLOOKUP($G56,FXRates,4,FALSE),1))</f>
        <v/>
      </c>
      <c r="M56" s="33">
        <f>IF($B56="","",$H56*$K56*$L56)</f>
        <v/>
      </c>
      <c r="N56" s="21" t="n"/>
      <c r="O56" s="14">
        <f>IF($B56="","",IF($D56=CashLabel,IF(ISNUMBER($N56),$N56,1),MIN(IF(ISNUMBER($N56),$N56,IFERROR(VLOOKUP($D56,LVTable,2,FALSE),0)),LVCap)))</f>
        <v/>
      </c>
      <c r="P56" s="25">
        <f>IF($B56="","",$M56*$O56)</f>
        <v/>
      </c>
      <c r="Q56" s="16">
        <f>IF($B56="","",IFERROR(VLOOKUP($G56,FXRates,5,FALSE),$G56))</f>
        <v/>
      </c>
      <c r="R56" s="14">
        <f>IF($B56="","",IF($D56=CashLabel,"",SUMIFS($P$5:$P$204,$B$5:$B$204,$B56,$D$5:$D$204,"&lt;&gt;"&amp;CashLabel)/ConcDenom))</f>
        <v/>
      </c>
      <c r="S56" s="14">
        <f>IF($B56="","",IF($D56=CashLabel,"",SUMIFS($P$5:$P$204,$E$5:$E$204,$E56,$D$5:$D$204,"&lt;&gt;"&amp;CashLabel)/ConcDenom))</f>
        <v/>
      </c>
      <c r="T56" s="14">
        <f>IF($B56="","",IF($D56=CashLabel,"",SUMIFS($P$5:$P$204,$F$5:$F$204,$F56,$D$5:$D$204,"&lt;&gt;"&amp;CashLabel)/ConcDenom))</f>
        <v/>
      </c>
      <c r="U56" s="14">
        <f>IF($B56="","",IF($D56=CashLabel,"",SUMIFS($P$5:$P$204,$D$5:$D$204,$D56,$D$5:$D$204,"&lt;&gt;"&amp;CashLabel)/ConcDenom))</f>
        <v/>
      </c>
      <c r="V56" s="15">
        <f>IF($B56="","",IF($D56=CashLabel,1,IF($R56&gt;ThrSingle,ThrSingle/$R56,1)))</f>
        <v/>
      </c>
      <c r="W56" s="15">
        <f>IF($B56="","",IF($D56=CashLabel,1,IF($S56&gt;ThrIssuer,ThrIssuer/$S56,1)))</f>
        <v/>
      </c>
      <c r="X56" s="15">
        <f>IF($B56="","",IF($D56=CashLabel,1,IF($T56&gt;IFERROR(VLOOKUP($F56,CountryThr,2,FALSE),DefThrCountry),IFERROR(VLOOKUP($F56,CountryThr,2,FALSE),DefThrCountry)/$T56,1)))</f>
        <v/>
      </c>
      <c r="Y56" s="15">
        <f>IF($B56="","",IF($D56=CashLabel,1,IF($U56&gt;IFERROR(VLOOKUP($D56,LVTable,3,FALSE),DefThrAsset),IFERROR(VLOOKUP($D56,LVTable,3,FALSE),DefThrAsset)/$U56,1)))</f>
        <v/>
      </c>
      <c r="Z56" s="34">
        <f>IF($B56="","",IF($D56=CashLabel,1,MIN($V56:$Y56)))</f>
        <v/>
      </c>
      <c r="AA56" s="25">
        <f>IF($B56="","",$P56*$Z56)</f>
        <v/>
      </c>
      <c r="AB56" s="33">
        <f>IF($B56="","",$P56-$AA56)</f>
        <v/>
      </c>
      <c r="AC56" s="21" t="n"/>
      <c r="AD56" s="33">
        <f>IF($B56="","",$M56*(1+IF(ISNUMBER($AC56),$AC56,0)))</f>
        <v/>
      </c>
      <c r="AE56" s="33">
        <f>IF($B56="","",$AD56*$O56)</f>
        <v/>
      </c>
      <c r="AF56" s="14">
        <f>IF($B56="","",IF($D56=CashLabel,"",SUMIFS($AE$5:$AE$204,$B$5:$B$204,$B56,$D$5:$D$204,"&lt;&gt;"&amp;CashLabel)/ConcDenomStr))</f>
        <v/>
      </c>
      <c r="AG56" s="14">
        <f>IF($B56="","",IF($D56=CashLabel,"",SUMIFS($AE$5:$AE$204,$E$5:$E$204,$E56,$D$5:$D$204,"&lt;&gt;"&amp;CashLabel)/ConcDenomStr))</f>
        <v/>
      </c>
      <c r="AH56" s="14">
        <f>IF($B56="","",IF($D56=CashLabel,"",SUMIFS($AE$5:$AE$204,$F$5:$F$204,$F56,$D$5:$D$204,"&lt;&gt;"&amp;CashLabel)/ConcDenomStr))</f>
        <v/>
      </c>
      <c r="AI56" s="14">
        <f>IF($B56="","",IF($D56=CashLabel,"",SUMIFS($AE$5:$AE$204,$D$5:$D$204,$D56,$D$5:$D$204,"&lt;&gt;"&amp;CashLabel)/ConcDenomStr))</f>
        <v/>
      </c>
      <c r="AJ56" s="15">
        <f>IF($B56="","",IF($D56=CashLabel,1,MIN(IF($AF56&gt;ThrSingle,ThrSingle/$AF56,1),IF($AG56&gt;ThrIssuer,ThrIssuer/$AG56,1),IF($AH56&gt;IFERROR(VLOOKUP($F56,CountryThr,2,FALSE),DefThrCountry),IFERROR(VLOOKUP($F56,CountryThr,2,FALSE),DefThrCountry)/$AH56,1),IF($AI56&gt;IFERROR(VLOOKUP($D56,LVTable,3,FALSE),DefThrAsset),IFERROR(VLOOKUP($D56,LVTable,3,FALSE),DefThrAsset)/$AI56,1))))</f>
        <v/>
      </c>
      <c r="AK56" s="33">
        <f>IF($B56="","",$AE56*$AJ56)</f>
        <v/>
      </c>
    </row>
    <row r="57">
      <c r="A57" s="16">
        <f>IF($B57="","",ROW()-4)</f>
        <v/>
      </c>
      <c r="B57" s="20" t="n"/>
      <c r="C57" s="20" t="n"/>
      <c r="D57" s="20" t="n"/>
      <c r="E57" s="20" t="n"/>
      <c r="F57" s="20" t="n"/>
      <c r="G57" s="20" t="n"/>
      <c r="H57" s="30" t="n"/>
      <c r="I57" s="30" t="n"/>
      <c r="J57" s="30" t="n"/>
      <c r="K57" s="31">
        <f>IF($B57="","",IF(ISNUMBER($J57),$J57,$I57))</f>
        <v/>
      </c>
      <c r="L57" s="32">
        <f>IF($B57="","",IFERROR(VLOOKUP($G57,FXRates,4,FALSE),1))</f>
        <v/>
      </c>
      <c r="M57" s="33">
        <f>IF($B57="","",$H57*$K57*$L57)</f>
        <v/>
      </c>
      <c r="N57" s="21" t="n"/>
      <c r="O57" s="14">
        <f>IF($B57="","",IF($D57=CashLabel,IF(ISNUMBER($N57),$N57,1),MIN(IF(ISNUMBER($N57),$N57,IFERROR(VLOOKUP($D57,LVTable,2,FALSE),0)),LVCap)))</f>
        <v/>
      </c>
      <c r="P57" s="25">
        <f>IF($B57="","",$M57*$O57)</f>
        <v/>
      </c>
      <c r="Q57" s="16">
        <f>IF($B57="","",IFERROR(VLOOKUP($G57,FXRates,5,FALSE),$G57))</f>
        <v/>
      </c>
      <c r="R57" s="14">
        <f>IF($B57="","",IF($D57=CashLabel,"",SUMIFS($P$5:$P$204,$B$5:$B$204,$B57,$D$5:$D$204,"&lt;&gt;"&amp;CashLabel)/ConcDenom))</f>
        <v/>
      </c>
      <c r="S57" s="14">
        <f>IF($B57="","",IF($D57=CashLabel,"",SUMIFS($P$5:$P$204,$E$5:$E$204,$E57,$D$5:$D$204,"&lt;&gt;"&amp;CashLabel)/ConcDenom))</f>
        <v/>
      </c>
      <c r="T57" s="14">
        <f>IF($B57="","",IF($D57=CashLabel,"",SUMIFS($P$5:$P$204,$F$5:$F$204,$F57,$D$5:$D$204,"&lt;&gt;"&amp;CashLabel)/ConcDenom))</f>
        <v/>
      </c>
      <c r="U57" s="14">
        <f>IF($B57="","",IF($D57=CashLabel,"",SUMIFS($P$5:$P$204,$D$5:$D$204,$D57,$D$5:$D$204,"&lt;&gt;"&amp;CashLabel)/ConcDenom))</f>
        <v/>
      </c>
      <c r="V57" s="15">
        <f>IF($B57="","",IF($D57=CashLabel,1,IF($R57&gt;ThrSingle,ThrSingle/$R57,1)))</f>
        <v/>
      </c>
      <c r="W57" s="15">
        <f>IF($B57="","",IF($D57=CashLabel,1,IF($S57&gt;ThrIssuer,ThrIssuer/$S57,1)))</f>
        <v/>
      </c>
      <c r="X57" s="15">
        <f>IF($B57="","",IF($D57=CashLabel,1,IF($T57&gt;IFERROR(VLOOKUP($F57,CountryThr,2,FALSE),DefThrCountry),IFERROR(VLOOKUP($F57,CountryThr,2,FALSE),DefThrCountry)/$T57,1)))</f>
        <v/>
      </c>
      <c r="Y57" s="15">
        <f>IF($B57="","",IF($D57=CashLabel,1,IF($U57&gt;IFERROR(VLOOKUP($D57,LVTable,3,FALSE),DefThrAsset),IFERROR(VLOOKUP($D57,LVTable,3,FALSE),DefThrAsset)/$U57,1)))</f>
        <v/>
      </c>
      <c r="Z57" s="34">
        <f>IF($B57="","",IF($D57=CashLabel,1,MIN($V57:$Y57)))</f>
        <v/>
      </c>
      <c r="AA57" s="25">
        <f>IF($B57="","",$P57*$Z57)</f>
        <v/>
      </c>
      <c r="AB57" s="33">
        <f>IF($B57="","",$P57-$AA57)</f>
        <v/>
      </c>
      <c r="AC57" s="21" t="n"/>
      <c r="AD57" s="33">
        <f>IF($B57="","",$M57*(1+IF(ISNUMBER($AC57),$AC57,0)))</f>
        <v/>
      </c>
      <c r="AE57" s="33">
        <f>IF($B57="","",$AD57*$O57)</f>
        <v/>
      </c>
      <c r="AF57" s="14">
        <f>IF($B57="","",IF($D57=CashLabel,"",SUMIFS($AE$5:$AE$204,$B$5:$B$204,$B57,$D$5:$D$204,"&lt;&gt;"&amp;CashLabel)/ConcDenomStr))</f>
        <v/>
      </c>
      <c r="AG57" s="14">
        <f>IF($B57="","",IF($D57=CashLabel,"",SUMIFS($AE$5:$AE$204,$E$5:$E$204,$E57,$D$5:$D$204,"&lt;&gt;"&amp;CashLabel)/ConcDenomStr))</f>
        <v/>
      </c>
      <c r="AH57" s="14">
        <f>IF($B57="","",IF($D57=CashLabel,"",SUMIFS($AE$5:$AE$204,$F$5:$F$204,$F57,$D$5:$D$204,"&lt;&gt;"&amp;CashLabel)/ConcDenomStr))</f>
        <v/>
      </c>
      <c r="AI57" s="14">
        <f>IF($B57="","",IF($D57=CashLabel,"",SUMIFS($AE$5:$AE$204,$D$5:$D$204,$D57,$D$5:$D$204,"&lt;&gt;"&amp;CashLabel)/ConcDenomStr))</f>
        <v/>
      </c>
      <c r="AJ57" s="15">
        <f>IF($B57="","",IF($D57=CashLabel,1,MIN(IF($AF57&gt;ThrSingle,ThrSingle/$AF57,1),IF($AG57&gt;ThrIssuer,ThrIssuer/$AG57,1),IF($AH57&gt;IFERROR(VLOOKUP($F57,CountryThr,2,FALSE),DefThrCountry),IFERROR(VLOOKUP($F57,CountryThr,2,FALSE),DefThrCountry)/$AH57,1),IF($AI57&gt;IFERROR(VLOOKUP($D57,LVTable,3,FALSE),DefThrAsset),IFERROR(VLOOKUP($D57,LVTable,3,FALSE),DefThrAsset)/$AI57,1))))</f>
        <v/>
      </c>
      <c r="AK57" s="33">
        <f>IF($B57="","",$AE57*$AJ57)</f>
        <v/>
      </c>
    </row>
    <row r="58">
      <c r="A58" s="16">
        <f>IF($B58="","",ROW()-4)</f>
        <v/>
      </c>
      <c r="B58" s="20" t="n"/>
      <c r="C58" s="20" t="n"/>
      <c r="D58" s="20" t="n"/>
      <c r="E58" s="20" t="n"/>
      <c r="F58" s="20" t="n"/>
      <c r="G58" s="20" t="n"/>
      <c r="H58" s="30" t="n"/>
      <c r="I58" s="30" t="n"/>
      <c r="J58" s="30" t="n"/>
      <c r="K58" s="31">
        <f>IF($B58="","",IF(ISNUMBER($J58),$J58,$I58))</f>
        <v/>
      </c>
      <c r="L58" s="32">
        <f>IF($B58="","",IFERROR(VLOOKUP($G58,FXRates,4,FALSE),1))</f>
        <v/>
      </c>
      <c r="M58" s="33">
        <f>IF($B58="","",$H58*$K58*$L58)</f>
        <v/>
      </c>
      <c r="N58" s="21" t="n"/>
      <c r="O58" s="14">
        <f>IF($B58="","",IF($D58=CashLabel,IF(ISNUMBER($N58),$N58,1),MIN(IF(ISNUMBER($N58),$N58,IFERROR(VLOOKUP($D58,LVTable,2,FALSE),0)),LVCap)))</f>
        <v/>
      </c>
      <c r="P58" s="25">
        <f>IF($B58="","",$M58*$O58)</f>
        <v/>
      </c>
      <c r="Q58" s="16">
        <f>IF($B58="","",IFERROR(VLOOKUP($G58,FXRates,5,FALSE),$G58))</f>
        <v/>
      </c>
      <c r="R58" s="14">
        <f>IF($B58="","",IF($D58=CashLabel,"",SUMIFS($P$5:$P$204,$B$5:$B$204,$B58,$D$5:$D$204,"&lt;&gt;"&amp;CashLabel)/ConcDenom))</f>
        <v/>
      </c>
      <c r="S58" s="14">
        <f>IF($B58="","",IF($D58=CashLabel,"",SUMIFS($P$5:$P$204,$E$5:$E$204,$E58,$D$5:$D$204,"&lt;&gt;"&amp;CashLabel)/ConcDenom))</f>
        <v/>
      </c>
      <c r="T58" s="14">
        <f>IF($B58="","",IF($D58=CashLabel,"",SUMIFS($P$5:$P$204,$F$5:$F$204,$F58,$D$5:$D$204,"&lt;&gt;"&amp;CashLabel)/ConcDenom))</f>
        <v/>
      </c>
      <c r="U58" s="14">
        <f>IF($B58="","",IF($D58=CashLabel,"",SUMIFS($P$5:$P$204,$D$5:$D$204,$D58,$D$5:$D$204,"&lt;&gt;"&amp;CashLabel)/ConcDenom))</f>
        <v/>
      </c>
      <c r="V58" s="15">
        <f>IF($B58="","",IF($D58=CashLabel,1,IF($R58&gt;ThrSingle,ThrSingle/$R58,1)))</f>
        <v/>
      </c>
      <c r="W58" s="15">
        <f>IF($B58="","",IF($D58=CashLabel,1,IF($S58&gt;ThrIssuer,ThrIssuer/$S58,1)))</f>
        <v/>
      </c>
      <c r="X58" s="15">
        <f>IF($B58="","",IF($D58=CashLabel,1,IF($T58&gt;IFERROR(VLOOKUP($F58,CountryThr,2,FALSE),DefThrCountry),IFERROR(VLOOKUP($F58,CountryThr,2,FALSE),DefThrCountry)/$T58,1)))</f>
        <v/>
      </c>
      <c r="Y58" s="15">
        <f>IF($B58="","",IF($D58=CashLabel,1,IF($U58&gt;IFERROR(VLOOKUP($D58,LVTable,3,FALSE),DefThrAsset),IFERROR(VLOOKUP($D58,LVTable,3,FALSE),DefThrAsset)/$U58,1)))</f>
        <v/>
      </c>
      <c r="Z58" s="34">
        <f>IF($B58="","",IF($D58=CashLabel,1,MIN($V58:$Y58)))</f>
        <v/>
      </c>
      <c r="AA58" s="25">
        <f>IF($B58="","",$P58*$Z58)</f>
        <v/>
      </c>
      <c r="AB58" s="33">
        <f>IF($B58="","",$P58-$AA58)</f>
        <v/>
      </c>
      <c r="AC58" s="21" t="n"/>
      <c r="AD58" s="33">
        <f>IF($B58="","",$M58*(1+IF(ISNUMBER($AC58),$AC58,0)))</f>
        <v/>
      </c>
      <c r="AE58" s="33">
        <f>IF($B58="","",$AD58*$O58)</f>
        <v/>
      </c>
      <c r="AF58" s="14">
        <f>IF($B58="","",IF($D58=CashLabel,"",SUMIFS($AE$5:$AE$204,$B$5:$B$204,$B58,$D$5:$D$204,"&lt;&gt;"&amp;CashLabel)/ConcDenomStr))</f>
        <v/>
      </c>
      <c r="AG58" s="14">
        <f>IF($B58="","",IF($D58=CashLabel,"",SUMIFS($AE$5:$AE$204,$E$5:$E$204,$E58,$D$5:$D$204,"&lt;&gt;"&amp;CashLabel)/ConcDenomStr))</f>
        <v/>
      </c>
      <c r="AH58" s="14">
        <f>IF($B58="","",IF($D58=CashLabel,"",SUMIFS($AE$5:$AE$204,$F$5:$F$204,$F58,$D$5:$D$204,"&lt;&gt;"&amp;CashLabel)/ConcDenomStr))</f>
        <v/>
      </c>
      <c r="AI58" s="14">
        <f>IF($B58="","",IF($D58=CashLabel,"",SUMIFS($AE$5:$AE$204,$D$5:$D$204,$D58,$D$5:$D$204,"&lt;&gt;"&amp;CashLabel)/ConcDenomStr))</f>
        <v/>
      </c>
      <c r="AJ58" s="15">
        <f>IF($B58="","",IF($D58=CashLabel,1,MIN(IF($AF58&gt;ThrSingle,ThrSingle/$AF58,1),IF($AG58&gt;ThrIssuer,ThrIssuer/$AG58,1),IF($AH58&gt;IFERROR(VLOOKUP($F58,CountryThr,2,FALSE),DefThrCountry),IFERROR(VLOOKUP($F58,CountryThr,2,FALSE),DefThrCountry)/$AH58,1),IF($AI58&gt;IFERROR(VLOOKUP($D58,LVTable,3,FALSE),DefThrAsset),IFERROR(VLOOKUP($D58,LVTable,3,FALSE),DefThrAsset)/$AI58,1))))</f>
        <v/>
      </c>
      <c r="AK58" s="33">
        <f>IF($B58="","",$AE58*$AJ58)</f>
        <v/>
      </c>
    </row>
    <row r="59">
      <c r="A59" s="16">
        <f>IF($B59="","",ROW()-4)</f>
        <v/>
      </c>
      <c r="B59" s="20" t="n"/>
      <c r="C59" s="20" t="n"/>
      <c r="D59" s="20" t="n"/>
      <c r="E59" s="20" t="n"/>
      <c r="F59" s="20" t="n"/>
      <c r="G59" s="20" t="n"/>
      <c r="H59" s="30" t="n"/>
      <c r="I59" s="30" t="n"/>
      <c r="J59" s="30" t="n"/>
      <c r="K59" s="31">
        <f>IF($B59="","",IF(ISNUMBER($J59),$J59,$I59))</f>
        <v/>
      </c>
      <c r="L59" s="32">
        <f>IF($B59="","",IFERROR(VLOOKUP($G59,FXRates,4,FALSE),1))</f>
        <v/>
      </c>
      <c r="M59" s="33">
        <f>IF($B59="","",$H59*$K59*$L59)</f>
        <v/>
      </c>
      <c r="N59" s="21" t="n"/>
      <c r="O59" s="14">
        <f>IF($B59="","",IF($D59=CashLabel,IF(ISNUMBER($N59),$N59,1),MIN(IF(ISNUMBER($N59),$N59,IFERROR(VLOOKUP($D59,LVTable,2,FALSE),0)),LVCap)))</f>
        <v/>
      </c>
      <c r="P59" s="25">
        <f>IF($B59="","",$M59*$O59)</f>
        <v/>
      </c>
      <c r="Q59" s="16">
        <f>IF($B59="","",IFERROR(VLOOKUP($G59,FXRates,5,FALSE),$G59))</f>
        <v/>
      </c>
      <c r="R59" s="14">
        <f>IF($B59="","",IF($D59=CashLabel,"",SUMIFS($P$5:$P$204,$B$5:$B$204,$B59,$D$5:$D$204,"&lt;&gt;"&amp;CashLabel)/ConcDenom))</f>
        <v/>
      </c>
      <c r="S59" s="14">
        <f>IF($B59="","",IF($D59=CashLabel,"",SUMIFS($P$5:$P$204,$E$5:$E$204,$E59,$D$5:$D$204,"&lt;&gt;"&amp;CashLabel)/ConcDenom))</f>
        <v/>
      </c>
      <c r="T59" s="14">
        <f>IF($B59="","",IF($D59=CashLabel,"",SUMIFS($P$5:$P$204,$F$5:$F$204,$F59,$D$5:$D$204,"&lt;&gt;"&amp;CashLabel)/ConcDenom))</f>
        <v/>
      </c>
      <c r="U59" s="14">
        <f>IF($B59="","",IF($D59=CashLabel,"",SUMIFS($P$5:$P$204,$D$5:$D$204,$D59,$D$5:$D$204,"&lt;&gt;"&amp;CashLabel)/ConcDenom))</f>
        <v/>
      </c>
      <c r="V59" s="15">
        <f>IF($B59="","",IF($D59=CashLabel,1,IF($R59&gt;ThrSingle,ThrSingle/$R59,1)))</f>
        <v/>
      </c>
      <c r="W59" s="15">
        <f>IF($B59="","",IF($D59=CashLabel,1,IF($S59&gt;ThrIssuer,ThrIssuer/$S59,1)))</f>
        <v/>
      </c>
      <c r="X59" s="15">
        <f>IF($B59="","",IF($D59=CashLabel,1,IF($T59&gt;IFERROR(VLOOKUP($F59,CountryThr,2,FALSE),DefThrCountry),IFERROR(VLOOKUP($F59,CountryThr,2,FALSE),DefThrCountry)/$T59,1)))</f>
        <v/>
      </c>
      <c r="Y59" s="15">
        <f>IF($B59="","",IF($D59=CashLabel,1,IF($U59&gt;IFERROR(VLOOKUP($D59,LVTable,3,FALSE),DefThrAsset),IFERROR(VLOOKUP($D59,LVTable,3,FALSE),DefThrAsset)/$U59,1)))</f>
        <v/>
      </c>
      <c r="Z59" s="34">
        <f>IF($B59="","",IF($D59=CashLabel,1,MIN($V59:$Y59)))</f>
        <v/>
      </c>
      <c r="AA59" s="25">
        <f>IF($B59="","",$P59*$Z59)</f>
        <v/>
      </c>
      <c r="AB59" s="33">
        <f>IF($B59="","",$P59-$AA59)</f>
        <v/>
      </c>
      <c r="AC59" s="21" t="n"/>
      <c r="AD59" s="33">
        <f>IF($B59="","",$M59*(1+IF(ISNUMBER($AC59),$AC59,0)))</f>
        <v/>
      </c>
      <c r="AE59" s="33">
        <f>IF($B59="","",$AD59*$O59)</f>
        <v/>
      </c>
      <c r="AF59" s="14">
        <f>IF($B59="","",IF($D59=CashLabel,"",SUMIFS($AE$5:$AE$204,$B$5:$B$204,$B59,$D$5:$D$204,"&lt;&gt;"&amp;CashLabel)/ConcDenomStr))</f>
        <v/>
      </c>
      <c r="AG59" s="14">
        <f>IF($B59="","",IF($D59=CashLabel,"",SUMIFS($AE$5:$AE$204,$E$5:$E$204,$E59,$D$5:$D$204,"&lt;&gt;"&amp;CashLabel)/ConcDenomStr))</f>
        <v/>
      </c>
      <c r="AH59" s="14">
        <f>IF($B59="","",IF($D59=CashLabel,"",SUMIFS($AE$5:$AE$204,$F$5:$F$204,$F59,$D$5:$D$204,"&lt;&gt;"&amp;CashLabel)/ConcDenomStr))</f>
        <v/>
      </c>
      <c r="AI59" s="14">
        <f>IF($B59="","",IF($D59=CashLabel,"",SUMIFS($AE$5:$AE$204,$D$5:$D$204,$D59,$D$5:$D$204,"&lt;&gt;"&amp;CashLabel)/ConcDenomStr))</f>
        <v/>
      </c>
      <c r="AJ59" s="15">
        <f>IF($B59="","",IF($D59=CashLabel,1,MIN(IF($AF59&gt;ThrSingle,ThrSingle/$AF59,1),IF($AG59&gt;ThrIssuer,ThrIssuer/$AG59,1),IF($AH59&gt;IFERROR(VLOOKUP($F59,CountryThr,2,FALSE),DefThrCountry),IFERROR(VLOOKUP($F59,CountryThr,2,FALSE),DefThrCountry)/$AH59,1),IF($AI59&gt;IFERROR(VLOOKUP($D59,LVTable,3,FALSE),DefThrAsset),IFERROR(VLOOKUP($D59,LVTable,3,FALSE),DefThrAsset)/$AI59,1))))</f>
        <v/>
      </c>
      <c r="AK59" s="33">
        <f>IF($B59="","",$AE59*$AJ59)</f>
        <v/>
      </c>
    </row>
    <row r="60">
      <c r="A60" s="16">
        <f>IF($B60="","",ROW()-4)</f>
        <v/>
      </c>
      <c r="B60" s="20" t="n"/>
      <c r="C60" s="20" t="n"/>
      <c r="D60" s="20" t="n"/>
      <c r="E60" s="20" t="n"/>
      <c r="F60" s="20" t="n"/>
      <c r="G60" s="20" t="n"/>
      <c r="H60" s="30" t="n"/>
      <c r="I60" s="30" t="n"/>
      <c r="J60" s="30" t="n"/>
      <c r="K60" s="31">
        <f>IF($B60="","",IF(ISNUMBER($J60),$J60,$I60))</f>
        <v/>
      </c>
      <c r="L60" s="32">
        <f>IF($B60="","",IFERROR(VLOOKUP($G60,FXRates,4,FALSE),1))</f>
        <v/>
      </c>
      <c r="M60" s="33">
        <f>IF($B60="","",$H60*$K60*$L60)</f>
        <v/>
      </c>
      <c r="N60" s="21" t="n"/>
      <c r="O60" s="14">
        <f>IF($B60="","",IF($D60=CashLabel,IF(ISNUMBER($N60),$N60,1),MIN(IF(ISNUMBER($N60),$N60,IFERROR(VLOOKUP($D60,LVTable,2,FALSE),0)),LVCap)))</f>
        <v/>
      </c>
      <c r="P60" s="25">
        <f>IF($B60="","",$M60*$O60)</f>
        <v/>
      </c>
      <c r="Q60" s="16">
        <f>IF($B60="","",IFERROR(VLOOKUP($G60,FXRates,5,FALSE),$G60))</f>
        <v/>
      </c>
      <c r="R60" s="14">
        <f>IF($B60="","",IF($D60=CashLabel,"",SUMIFS($P$5:$P$204,$B$5:$B$204,$B60,$D$5:$D$204,"&lt;&gt;"&amp;CashLabel)/ConcDenom))</f>
        <v/>
      </c>
      <c r="S60" s="14">
        <f>IF($B60="","",IF($D60=CashLabel,"",SUMIFS($P$5:$P$204,$E$5:$E$204,$E60,$D$5:$D$204,"&lt;&gt;"&amp;CashLabel)/ConcDenom))</f>
        <v/>
      </c>
      <c r="T60" s="14">
        <f>IF($B60="","",IF($D60=CashLabel,"",SUMIFS($P$5:$P$204,$F$5:$F$204,$F60,$D$5:$D$204,"&lt;&gt;"&amp;CashLabel)/ConcDenom))</f>
        <v/>
      </c>
      <c r="U60" s="14">
        <f>IF($B60="","",IF($D60=CashLabel,"",SUMIFS($P$5:$P$204,$D$5:$D$204,$D60,$D$5:$D$204,"&lt;&gt;"&amp;CashLabel)/ConcDenom))</f>
        <v/>
      </c>
      <c r="V60" s="15">
        <f>IF($B60="","",IF($D60=CashLabel,1,IF($R60&gt;ThrSingle,ThrSingle/$R60,1)))</f>
        <v/>
      </c>
      <c r="W60" s="15">
        <f>IF($B60="","",IF($D60=CashLabel,1,IF($S60&gt;ThrIssuer,ThrIssuer/$S60,1)))</f>
        <v/>
      </c>
      <c r="X60" s="15">
        <f>IF($B60="","",IF($D60=CashLabel,1,IF($T60&gt;IFERROR(VLOOKUP($F60,CountryThr,2,FALSE),DefThrCountry),IFERROR(VLOOKUP($F60,CountryThr,2,FALSE),DefThrCountry)/$T60,1)))</f>
        <v/>
      </c>
      <c r="Y60" s="15">
        <f>IF($B60="","",IF($D60=CashLabel,1,IF($U60&gt;IFERROR(VLOOKUP($D60,LVTable,3,FALSE),DefThrAsset),IFERROR(VLOOKUP($D60,LVTable,3,FALSE),DefThrAsset)/$U60,1)))</f>
        <v/>
      </c>
      <c r="Z60" s="34">
        <f>IF($B60="","",IF($D60=CashLabel,1,MIN($V60:$Y60)))</f>
        <v/>
      </c>
      <c r="AA60" s="25">
        <f>IF($B60="","",$P60*$Z60)</f>
        <v/>
      </c>
      <c r="AB60" s="33">
        <f>IF($B60="","",$P60-$AA60)</f>
        <v/>
      </c>
      <c r="AC60" s="21" t="n"/>
      <c r="AD60" s="33">
        <f>IF($B60="","",$M60*(1+IF(ISNUMBER($AC60),$AC60,0)))</f>
        <v/>
      </c>
      <c r="AE60" s="33">
        <f>IF($B60="","",$AD60*$O60)</f>
        <v/>
      </c>
      <c r="AF60" s="14">
        <f>IF($B60="","",IF($D60=CashLabel,"",SUMIFS($AE$5:$AE$204,$B$5:$B$204,$B60,$D$5:$D$204,"&lt;&gt;"&amp;CashLabel)/ConcDenomStr))</f>
        <v/>
      </c>
      <c r="AG60" s="14">
        <f>IF($B60="","",IF($D60=CashLabel,"",SUMIFS($AE$5:$AE$204,$E$5:$E$204,$E60,$D$5:$D$204,"&lt;&gt;"&amp;CashLabel)/ConcDenomStr))</f>
        <v/>
      </c>
      <c r="AH60" s="14">
        <f>IF($B60="","",IF($D60=CashLabel,"",SUMIFS($AE$5:$AE$204,$F$5:$F$204,$F60,$D$5:$D$204,"&lt;&gt;"&amp;CashLabel)/ConcDenomStr))</f>
        <v/>
      </c>
      <c r="AI60" s="14">
        <f>IF($B60="","",IF($D60=CashLabel,"",SUMIFS($AE$5:$AE$204,$D$5:$D$204,$D60,$D$5:$D$204,"&lt;&gt;"&amp;CashLabel)/ConcDenomStr))</f>
        <v/>
      </c>
      <c r="AJ60" s="15">
        <f>IF($B60="","",IF($D60=CashLabel,1,MIN(IF($AF60&gt;ThrSingle,ThrSingle/$AF60,1),IF($AG60&gt;ThrIssuer,ThrIssuer/$AG60,1),IF($AH60&gt;IFERROR(VLOOKUP($F60,CountryThr,2,FALSE),DefThrCountry),IFERROR(VLOOKUP($F60,CountryThr,2,FALSE),DefThrCountry)/$AH60,1),IF($AI60&gt;IFERROR(VLOOKUP($D60,LVTable,3,FALSE),DefThrAsset),IFERROR(VLOOKUP($D60,LVTable,3,FALSE),DefThrAsset)/$AI60,1))))</f>
        <v/>
      </c>
      <c r="AK60" s="33">
        <f>IF($B60="","",$AE60*$AJ60)</f>
        <v/>
      </c>
    </row>
    <row r="61">
      <c r="A61" s="16">
        <f>IF($B61="","",ROW()-4)</f>
        <v/>
      </c>
      <c r="B61" s="20" t="n"/>
      <c r="C61" s="20" t="n"/>
      <c r="D61" s="20" t="n"/>
      <c r="E61" s="20" t="n"/>
      <c r="F61" s="20" t="n"/>
      <c r="G61" s="20" t="n"/>
      <c r="H61" s="30" t="n"/>
      <c r="I61" s="30" t="n"/>
      <c r="J61" s="30" t="n"/>
      <c r="K61" s="31">
        <f>IF($B61="","",IF(ISNUMBER($J61),$J61,$I61))</f>
        <v/>
      </c>
      <c r="L61" s="32">
        <f>IF($B61="","",IFERROR(VLOOKUP($G61,FXRates,4,FALSE),1))</f>
        <v/>
      </c>
      <c r="M61" s="33">
        <f>IF($B61="","",$H61*$K61*$L61)</f>
        <v/>
      </c>
      <c r="N61" s="21" t="n"/>
      <c r="O61" s="14">
        <f>IF($B61="","",IF($D61=CashLabel,IF(ISNUMBER($N61),$N61,1),MIN(IF(ISNUMBER($N61),$N61,IFERROR(VLOOKUP($D61,LVTable,2,FALSE),0)),LVCap)))</f>
        <v/>
      </c>
      <c r="P61" s="25">
        <f>IF($B61="","",$M61*$O61)</f>
        <v/>
      </c>
      <c r="Q61" s="16">
        <f>IF($B61="","",IFERROR(VLOOKUP($G61,FXRates,5,FALSE),$G61))</f>
        <v/>
      </c>
      <c r="R61" s="14">
        <f>IF($B61="","",IF($D61=CashLabel,"",SUMIFS($P$5:$P$204,$B$5:$B$204,$B61,$D$5:$D$204,"&lt;&gt;"&amp;CashLabel)/ConcDenom))</f>
        <v/>
      </c>
      <c r="S61" s="14">
        <f>IF($B61="","",IF($D61=CashLabel,"",SUMIFS($P$5:$P$204,$E$5:$E$204,$E61,$D$5:$D$204,"&lt;&gt;"&amp;CashLabel)/ConcDenom))</f>
        <v/>
      </c>
      <c r="T61" s="14">
        <f>IF($B61="","",IF($D61=CashLabel,"",SUMIFS($P$5:$P$204,$F$5:$F$204,$F61,$D$5:$D$204,"&lt;&gt;"&amp;CashLabel)/ConcDenom))</f>
        <v/>
      </c>
      <c r="U61" s="14">
        <f>IF($B61="","",IF($D61=CashLabel,"",SUMIFS($P$5:$P$204,$D$5:$D$204,$D61,$D$5:$D$204,"&lt;&gt;"&amp;CashLabel)/ConcDenom))</f>
        <v/>
      </c>
      <c r="V61" s="15">
        <f>IF($B61="","",IF($D61=CashLabel,1,IF($R61&gt;ThrSingle,ThrSingle/$R61,1)))</f>
        <v/>
      </c>
      <c r="W61" s="15">
        <f>IF($B61="","",IF($D61=CashLabel,1,IF($S61&gt;ThrIssuer,ThrIssuer/$S61,1)))</f>
        <v/>
      </c>
      <c r="X61" s="15">
        <f>IF($B61="","",IF($D61=CashLabel,1,IF($T61&gt;IFERROR(VLOOKUP($F61,CountryThr,2,FALSE),DefThrCountry),IFERROR(VLOOKUP($F61,CountryThr,2,FALSE),DefThrCountry)/$T61,1)))</f>
        <v/>
      </c>
      <c r="Y61" s="15">
        <f>IF($B61="","",IF($D61=CashLabel,1,IF($U61&gt;IFERROR(VLOOKUP($D61,LVTable,3,FALSE),DefThrAsset),IFERROR(VLOOKUP($D61,LVTable,3,FALSE),DefThrAsset)/$U61,1)))</f>
        <v/>
      </c>
      <c r="Z61" s="34">
        <f>IF($B61="","",IF($D61=CashLabel,1,MIN($V61:$Y61)))</f>
        <v/>
      </c>
      <c r="AA61" s="25">
        <f>IF($B61="","",$P61*$Z61)</f>
        <v/>
      </c>
      <c r="AB61" s="33">
        <f>IF($B61="","",$P61-$AA61)</f>
        <v/>
      </c>
      <c r="AC61" s="21" t="n"/>
      <c r="AD61" s="33">
        <f>IF($B61="","",$M61*(1+IF(ISNUMBER($AC61),$AC61,0)))</f>
        <v/>
      </c>
      <c r="AE61" s="33">
        <f>IF($B61="","",$AD61*$O61)</f>
        <v/>
      </c>
      <c r="AF61" s="14">
        <f>IF($B61="","",IF($D61=CashLabel,"",SUMIFS($AE$5:$AE$204,$B$5:$B$204,$B61,$D$5:$D$204,"&lt;&gt;"&amp;CashLabel)/ConcDenomStr))</f>
        <v/>
      </c>
      <c r="AG61" s="14">
        <f>IF($B61="","",IF($D61=CashLabel,"",SUMIFS($AE$5:$AE$204,$E$5:$E$204,$E61,$D$5:$D$204,"&lt;&gt;"&amp;CashLabel)/ConcDenomStr))</f>
        <v/>
      </c>
      <c r="AH61" s="14">
        <f>IF($B61="","",IF($D61=CashLabel,"",SUMIFS($AE$5:$AE$204,$F$5:$F$204,$F61,$D$5:$D$204,"&lt;&gt;"&amp;CashLabel)/ConcDenomStr))</f>
        <v/>
      </c>
      <c r="AI61" s="14">
        <f>IF($B61="","",IF($D61=CashLabel,"",SUMIFS($AE$5:$AE$204,$D$5:$D$204,$D61,$D$5:$D$204,"&lt;&gt;"&amp;CashLabel)/ConcDenomStr))</f>
        <v/>
      </c>
      <c r="AJ61" s="15">
        <f>IF($B61="","",IF($D61=CashLabel,1,MIN(IF($AF61&gt;ThrSingle,ThrSingle/$AF61,1),IF($AG61&gt;ThrIssuer,ThrIssuer/$AG61,1),IF($AH61&gt;IFERROR(VLOOKUP($F61,CountryThr,2,FALSE),DefThrCountry),IFERROR(VLOOKUP($F61,CountryThr,2,FALSE),DefThrCountry)/$AH61,1),IF($AI61&gt;IFERROR(VLOOKUP($D61,LVTable,3,FALSE),DefThrAsset),IFERROR(VLOOKUP($D61,LVTable,3,FALSE),DefThrAsset)/$AI61,1))))</f>
        <v/>
      </c>
      <c r="AK61" s="33">
        <f>IF($B61="","",$AE61*$AJ61)</f>
        <v/>
      </c>
    </row>
    <row r="62">
      <c r="A62" s="16">
        <f>IF($B62="","",ROW()-4)</f>
        <v/>
      </c>
      <c r="B62" s="20" t="n"/>
      <c r="C62" s="20" t="n"/>
      <c r="D62" s="20" t="n"/>
      <c r="E62" s="20" t="n"/>
      <c r="F62" s="20" t="n"/>
      <c r="G62" s="20" t="n"/>
      <c r="H62" s="30" t="n"/>
      <c r="I62" s="30" t="n"/>
      <c r="J62" s="30" t="n"/>
      <c r="K62" s="31">
        <f>IF($B62="","",IF(ISNUMBER($J62),$J62,$I62))</f>
        <v/>
      </c>
      <c r="L62" s="32">
        <f>IF($B62="","",IFERROR(VLOOKUP($G62,FXRates,4,FALSE),1))</f>
        <v/>
      </c>
      <c r="M62" s="33">
        <f>IF($B62="","",$H62*$K62*$L62)</f>
        <v/>
      </c>
      <c r="N62" s="21" t="n"/>
      <c r="O62" s="14">
        <f>IF($B62="","",IF($D62=CashLabel,IF(ISNUMBER($N62),$N62,1),MIN(IF(ISNUMBER($N62),$N62,IFERROR(VLOOKUP($D62,LVTable,2,FALSE),0)),LVCap)))</f>
        <v/>
      </c>
      <c r="P62" s="25">
        <f>IF($B62="","",$M62*$O62)</f>
        <v/>
      </c>
      <c r="Q62" s="16">
        <f>IF($B62="","",IFERROR(VLOOKUP($G62,FXRates,5,FALSE),$G62))</f>
        <v/>
      </c>
      <c r="R62" s="14">
        <f>IF($B62="","",IF($D62=CashLabel,"",SUMIFS($P$5:$P$204,$B$5:$B$204,$B62,$D$5:$D$204,"&lt;&gt;"&amp;CashLabel)/ConcDenom))</f>
        <v/>
      </c>
      <c r="S62" s="14">
        <f>IF($B62="","",IF($D62=CashLabel,"",SUMIFS($P$5:$P$204,$E$5:$E$204,$E62,$D$5:$D$204,"&lt;&gt;"&amp;CashLabel)/ConcDenom))</f>
        <v/>
      </c>
      <c r="T62" s="14">
        <f>IF($B62="","",IF($D62=CashLabel,"",SUMIFS($P$5:$P$204,$F$5:$F$204,$F62,$D$5:$D$204,"&lt;&gt;"&amp;CashLabel)/ConcDenom))</f>
        <v/>
      </c>
      <c r="U62" s="14">
        <f>IF($B62="","",IF($D62=CashLabel,"",SUMIFS($P$5:$P$204,$D$5:$D$204,$D62,$D$5:$D$204,"&lt;&gt;"&amp;CashLabel)/ConcDenom))</f>
        <v/>
      </c>
      <c r="V62" s="15">
        <f>IF($B62="","",IF($D62=CashLabel,1,IF($R62&gt;ThrSingle,ThrSingle/$R62,1)))</f>
        <v/>
      </c>
      <c r="W62" s="15">
        <f>IF($B62="","",IF($D62=CashLabel,1,IF($S62&gt;ThrIssuer,ThrIssuer/$S62,1)))</f>
        <v/>
      </c>
      <c r="X62" s="15">
        <f>IF($B62="","",IF($D62=CashLabel,1,IF($T62&gt;IFERROR(VLOOKUP($F62,CountryThr,2,FALSE),DefThrCountry),IFERROR(VLOOKUP($F62,CountryThr,2,FALSE),DefThrCountry)/$T62,1)))</f>
        <v/>
      </c>
      <c r="Y62" s="15">
        <f>IF($B62="","",IF($D62=CashLabel,1,IF($U62&gt;IFERROR(VLOOKUP($D62,LVTable,3,FALSE),DefThrAsset),IFERROR(VLOOKUP($D62,LVTable,3,FALSE),DefThrAsset)/$U62,1)))</f>
        <v/>
      </c>
      <c r="Z62" s="34">
        <f>IF($B62="","",IF($D62=CashLabel,1,MIN($V62:$Y62)))</f>
        <v/>
      </c>
      <c r="AA62" s="25">
        <f>IF($B62="","",$P62*$Z62)</f>
        <v/>
      </c>
      <c r="AB62" s="33">
        <f>IF($B62="","",$P62-$AA62)</f>
        <v/>
      </c>
      <c r="AC62" s="21" t="n"/>
      <c r="AD62" s="33">
        <f>IF($B62="","",$M62*(1+IF(ISNUMBER($AC62),$AC62,0)))</f>
        <v/>
      </c>
      <c r="AE62" s="33">
        <f>IF($B62="","",$AD62*$O62)</f>
        <v/>
      </c>
      <c r="AF62" s="14">
        <f>IF($B62="","",IF($D62=CashLabel,"",SUMIFS($AE$5:$AE$204,$B$5:$B$204,$B62,$D$5:$D$204,"&lt;&gt;"&amp;CashLabel)/ConcDenomStr))</f>
        <v/>
      </c>
      <c r="AG62" s="14">
        <f>IF($B62="","",IF($D62=CashLabel,"",SUMIFS($AE$5:$AE$204,$E$5:$E$204,$E62,$D$5:$D$204,"&lt;&gt;"&amp;CashLabel)/ConcDenomStr))</f>
        <v/>
      </c>
      <c r="AH62" s="14">
        <f>IF($B62="","",IF($D62=CashLabel,"",SUMIFS($AE$5:$AE$204,$F$5:$F$204,$F62,$D$5:$D$204,"&lt;&gt;"&amp;CashLabel)/ConcDenomStr))</f>
        <v/>
      </c>
      <c r="AI62" s="14">
        <f>IF($B62="","",IF($D62=CashLabel,"",SUMIFS($AE$5:$AE$204,$D$5:$D$204,$D62,$D$5:$D$204,"&lt;&gt;"&amp;CashLabel)/ConcDenomStr))</f>
        <v/>
      </c>
      <c r="AJ62" s="15">
        <f>IF($B62="","",IF($D62=CashLabel,1,MIN(IF($AF62&gt;ThrSingle,ThrSingle/$AF62,1),IF($AG62&gt;ThrIssuer,ThrIssuer/$AG62,1),IF($AH62&gt;IFERROR(VLOOKUP($F62,CountryThr,2,FALSE),DefThrCountry),IFERROR(VLOOKUP($F62,CountryThr,2,FALSE),DefThrCountry)/$AH62,1),IF($AI62&gt;IFERROR(VLOOKUP($D62,LVTable,3,FALSE),DefThrAsset),IFERROR(VLOOKUP($D62,LVTable,3,FALSE),DefThrAsset)/$AI62,1))))</f>
        <v/>
      </c>
      <c r="AK62" s="33">
        <f>IF($B62="","",$AE62*$AJ62)</f>
        <v/>
      </c>
    </row>
    <row r="63">
      <c r="A63" s="16">
        <f>IF($B63="","",ROW()-4)</f>
        <v/>
      </c>
      <c r="B63" s="20" t="n"/>
      <c r="C63" s="20" t="n"/>
      <c r="D63" s="20" t="n"/>
      <c r="E63" s="20" t="n"/>
      <c r="F63" s="20" t="n"/>
      <c r="G63" s="20" t="n"/>
      <c r="H63" s="30" t="n"/>
      <c r="I63" s="30" t="n"/>
      <c r="J63" s="30" t="n"/>
      <c r="K63" s="31">
        <f>IF($B63="","",IF(ISNUMBER($J63),$J63,$I63))</f>
        <v/>
      </c>
      <c r="L63" s="32">
        <f>IF($B63="","",IFERROR(VLOOKUP($G63,FXRates,4,FALSE),1))</f>
        <v/>
      </c>
      <c r="M63" s="33">
        <f>IF($B63="","",$H63*$K63*$L63)</f>
        <v/>
      </c>
      <c r="N63" s="21" t="n"/>
      <c r="O63" s="14">
        <f>IF($B63="","",IF($D63=CashLabel,IF(ISNUMBER($N63),$N63,1),MIN(IF(ISNUMBER($N63),$N63,IFERROR(VLOOKUP($D63,LVTable,2,FALSE),0)),LVCap)))</f>
        <v/>
      </c>
      <c r="P63" s="25">
        <f>IF($B63="","",$M63*$O63)</f>
        <v/>
      </c>
      <c r="Q63" s="16">
        <f>IF($B63="","",IFERROR(VLOOKUP($G63,FXRates,5,FALSE),$G63))</f>
        <v/>
      </c>
      <c r="R63" s="14">
        <f>IF($B63="","",IF($D63=CashLabel,"",SUMIFS($P$5:$P$204,$B$5:$B$204,$B63,$D$5:$D$204,"&lt;&gt;"&amp;CashLabel)/ConcDenom))</f>
        <v/>
      </c>
      <c r="S63" s="14">
        <f>IF($B63="","",IF($D63=CashLabel,"",SUMIFS($P$5:$P$204,$E$5:$E$204,$E63,$D$5:$D$204,"&lt;&gt;"&amp;CashLabel)/ConcDenom))</f>
        <v/>
      </c>
      <c r="T63" s="14">
        <f>IF($B63="","",IF($D63=CashLabel,"",SUMIFS($P$5:$P$204,$F$5:$F$204,$F63,$D$5:$D$204,"&lt;&gt;"&amp;CashLabel)/ConcDenom))</f>
        <v/>
      </c>
      <c r="U63" s="14">
        <f>IF($B63="","",IF($D63=CashLabel,"",SUMIFS($P$5:$P$204,$D$5:$D$204,$D63,$D$5:$D$204,"&lt;&gt;"&amp;CashLabel)/ConcDenom))</f>
        <v/>
      </c>
      <c r="V63" s="15">
        <f>IF($B63="","",IF($D63=CashLabel,1,IF($R63&gt;ThrSingle,ThrSingle/$R63,1)))</f>
        <v/>
      </c>
      <c r="W63" s="15">
        <f>IF($B63="","",IF($D63=CashLabel,1,IF($S63&gt;ThrIssuer,ThrIssuer/$S63,1)))</f>
        <v/>
      </c>
      <c r="X63" s="15">
        <f>IF($B63="","",IF($D63=CashLabel,1,IF($T63&gt;IFERROR(VLOOKUP($F63,CountryThr,2,FALSE),DefThrCountry),IFERROR(VLOOKUP($F63,CountryThr,2,FALSE),DefThrCountry)/$T63,1)))</f>
        <v/>
      </c>
      <c r="Y63" s="15">
        <f>IF($B63="","",IF($D63=CashLabel,1,IF($U63&gt;IFERROR(VLOOKUP($D63,LVTable,3,FALSE),DefThrAsset),IFERROR(VLOOKUP($D63,LVTable,3,FALSE),DefThrAsset)/$U63,1)))</f>
        <v/>
      </c>
      <c r="Z63" s="34">
        <f>IF($B63="","",IF($D63=CashLabel,1,MIN($V63:$Y63)))</f>
        <v/>
      </c>
      <c r="AA63" s="25">
        <f>IF($B63="","",$P63*$Z63)</f>
        <v/>
      </c>
      <c r="AB63" s="33">
        <f>IF($B63="","",$P63-$AA63)</f>
        <v/>
      </c>
      <c r="AC63" s="21" t="n"/>
      <c r="AD63" s="33">
        <f>IF($B63="","",$M63*(1+IF(ISNUMBER($AC63),$AC63,0)))</f>
        <v/>
      </c>
      <c r="AE63" s="33">
        <f>IF($B63="","",$AD63*$O63)</f>
        <v/>
      </c>
      <c r="AF63" s="14">
        <f>IF($B63="","",IF($D63=CashLabel,"",SUMIFS($AE$5:$AE$204,$B$5:$B$204,$B63,$D$5:$D$204,"&lt;&gt;"&amp;CashLabel)/ConcDenomStr))</f>
        <v/>
      </c>
      <c r="AG63" s="14">
        <f>IF($B63="","",IF($D63=CashLabel,"",SUMIFS($AE$5:$AE$204,$E$5:$E$204,$E63,$D$5:$D$204,"&lt;&gt;"&amp;CashLabel)/ConcDenomStr))</f>
        <v/>
      </c>
      <c r="AH63" s="14">
        <f>IF($B63="","",IF($D63=CashLabel,"",SUMIFS($AE$5:$AE$204,$F$5:$F$204,$F63,$D$5:$D$204,"&lt;&gt;"&amp;CashLabel)/ConcDenomStr))</f>
        <v/>
      </c>
      <c r="AI63" s="14">
        <f>IF($B63="","",IF($D63=CashLabel,"",SUMIFS($AE$5:$AE$204,$D$5:$D$204,$D63,$D$5:$D$204,"&lt;&gt;"&amp;CashLabel)/ConcDenomStr))</f>
        <v/>
      </c>
      <c r="AJ63" s="15">
        <f>IF($B63="","",IF($D63=CashLabel,1,MIN(IF($AF63&gt;ThrSingle,ThrSingle/$AF63,1),IF($AG63&gt;ThrIssuer,ThrIssuer/$AG63,1),IF($AH63&gt;IFERROR(VLOOKUP($F63,CountryThr,2,FALSE),DefThrCountry),IFERROR(VLOOKUP($F63,CountryThr,2,FALSE),DefThrCountry)/$AH63,1),IF($AI63&gt;IFERROR(VLOOKUP($D63,LVTable,3,FALSE),DefThrAsset),IFERROR(VLOOKUP($D63,LVTable,3,FALSE),DefThrAsset)/$AI63,1))))</f>
        <v/>
      </c>
      <c r="AK63" s="33">
        <f>IF($B63="","",$AE63*$AJ63)</f>
        <v/>
      </c>
    </row>
    <row r="64">
      <c r="A64" s="16">
        <f>IF($B64="","",ROW()-4)</f>
        <v/>
      </c>
      <c r="B64" s="20" t="n"/>
      <c r="C64" s="20" t="n"/>
      <c r="D64" s="20" t="n"/>
      <c r="E64" s="20" t="n"/>
      <c r="F64" s="20" t="n"/>
      <c r="G64" s="20" t="n"/>
      <c r="H64" s="30" t="n"/>
      <c r="I64" s="30" t="n"/>
      <c r="J64" s="30" t="n"/>
      <c r="K64" s="31">
        <f>IF($B64="","",IF(ISNUMBER($J64),$J64,$I64))</f>
        <v/>
      </c>
      <c r="L64" s="32">
        <f>IF($B64="","",IFERROR(VLOOKUP($G64,FXRates,4,FALSE),1))</f>
        <v/>
      </c>
      <c r="M64" s="33">
        <f>IF($B64="","",$H64*$K64*$L64)</f>
        <v/>
      </c>
      <c r="N64" s="21" t="n"/>
      <c r="O64" s="14">
        <f>IF($B64="","",IF($D64=CashLabel,IF(ISNUMBER($N64),$N64,1),MIN(IF(ISNUMBER($N64),$N64,IFERROR(VLOOKUP($D64,LVTable,2,FALSE),0)),LVCap)))</f>
        <v/>
      </c>
      <c r="P64" s="25">
        <f>IF($B64="","",$M64*$O64)</f>
        <v/>
      </c>
      <c r="Q64" s="16">
        <f>IF($B64="","",IFERROR(VLOOKUP($G64,FXRates,5,FALSE),$G64))</f>
        <v/>
      </c>
      <c r="R64" s="14">
        <f>IF($B64="","",IF($D64=CashLabel,"",SUMIFS($P$5:$P$204,$B$5:$B$204,$B64,$D$5:$D$204,"&lt;&gt;"&amp;CashLabel)/ConcDenom))</f>
        <v/>
      </c>
      <c r="S64" s="14">
        <f>IF($B64="","",IF($D64=CashLabel,"",SUMIFS($P$5:$P$204,$E$5:$E$204,$E64,$D$5:$D$204,"&lt;&gt;"&amp;CashLabel)/ConcDenom))</f>
        <v/>
      </c>
      <c r="T64" s="14">
        <f>IF($B64="","",IF($D64=CashLabel,"",SUMIFS($P$5:$P$204,$F$5:$F$204,$F64,$D$5:$D$204,"&lt;&gt;"&amp;CashLabel)/ConcDenom))</f>
        <v/>
      </c>
      <c r="U64" s="14">
        <f>IF($B64="","",IF($D64=CashLabel,"",SUMIFS($P$5:$P$204,$D$5:$D$204,$D64,$D$5:$D$204,"&lt;&gt;"&amp;CashLabel)/ConcDenom))</f>
        <v/>
      </c>
      <c r="V64" s="15">
        <f>IF($B64="","",IF($D64=CashLabel,1,IF($R64&gt;ThrSingle,ThrSingle/$R64,1)))</f>
        <v/>
      </c>
      <c r="W64" s="15">
        <f>IF($B64="","",IF($D64=CashLabel,1,IF($S64&gt;ThrIssuer,ThrIssuer/$S64,1)))</f>
        <v/>
      </c>
      <c r="X64" s="15">
        <f>IF($B64="","",IF($D64=CashLabel,1,IF($T64&gt;IFERROR(VLOOKUP($F64,CountryThr,2,FALSE),DefThrCountry),IFERROR(VLOOKUP($F64,CountryThr,2,FALSE),DefThrCountry)/$T64,1)))</f>
        <v/>
      </c>
      <c r="Y64" s="15">
        <f>IF($B64="","",IF($D64=CashLabel,1,IF($U64&gt;IFERROR(VLOOKUP($D64,LVTable,3,FALSE),DefThrAsset),IFERROR(VLOOKUP($D64,LVTable,3,FALSE),DefThrAsset)/$U64,1)))</f>
        <v/>
      </c>
      <c r="Z64" s="34">
        <f>IF($B64="","",IF($D64=CashLabel,1,MIN($V64:$Y64)))</f>
        <v/>
      </c>
      <c r="AA64" s="25">
        <f>IF($B64="","",$P64*$Z64)</f>
        <v/>
      </c>
      <c r="AB64" s="33">
        <f>IF($B64="","",$P64-$AA64)</f>
        <v/>
      </c>
      <c r="AC64" s="21" t="n"/>
      <c r="AD64" s="33">
        <f>IF($B64="","",$M64*(1+IF(ISNUMBER($AC64),$AC64,0)))</f>
        <v/>
      </c>
      <c r="AE64" s="33">
        <f>IF($B64="","",$AD64*$O64)</f>
        <v/>
      </c>
      <c r="AF64" s="14">
        <f>IF($B64="","",IF($D64=CashLabel,"",SUMIFS($AE$5:$AE$204,$B$5:$B$204,$B64,$D$5:$D$204,"&lt;&gt;"&amp;CashLabel)/ConcDenomStr))</f>
        <v/>
      </c>
      <c r="AG64" s="14">
        <f>IF($B64="","",IF($D64=CashLabel,"",SUMIFS($AE$5:$AE$204,$E$5:$E$204,$E64,$D$5:$D$204,"&lt;&gt;"&amp;CashLabel)/ConcDenomStr))</f>
        <v/>
      </c>
      <c r="AH64" s="14">
        <f>IF($B64="","",IF($D64=CashLabel,"",SUMIFS($AE$5:$AE$204,$F$5:$F$204,$F64,$D$5:$D$204,"&lt;&gt;"&amp;CashLabel)/ConcDenomStr))</f>
        <v/>
      </c>
      <c r="AI64" s="14">
        <f>IF($B64="","",IF($D64=CashLabel,"",SUMIFS($AE$5:$AE$204,$D$5:$D$204,$D64,$D$5:$D$204,"&lt;&gt;"&amp;CashLabel)/ConcDenomStr))</f>
        <v/>
      </c>
      <c r="AJ64" s="15">
        <f>IF($B64="","",IF($D64=CashLabel,1,MIN(IF($AF64&gt;ThrSingle,ThrSingle/$AF64,1),IF($AG64&gt;ThrIssuer,ThrIssuer/$AG64,1),IF($AH64&gt;IFERROR(VLOOKUP($F64,CountryThr,2,FALSE),DefThrCountry),IFERROR(VLOOKUP($F64,CountryThr,2,FALSE),DefThrCountry)/$AH64,1),IF($AI64&gt;IFERROR(VLOOKUP($D64,LVTable,3,FALSE),DefThrAsset),IFERROR(VLOOKUP($D64,LVTable,3,FALSE),DefThrAsset)/$AI64,1))))</f>
        <v/>
      </c>
      <c r="AK64" s="33">
        <f>IF($B64="","",$AE64*$AJ64)</f>
        <v/>
      </c>
    </row>
    <row r="65">
      <c r="A65" s="16">
        <f>IF($B65="","",ROW()-4)</f>
        <v/>
      </c>
      <c r="B65" s="20" t="n"/>
      <c r="C65" s="20" t="n"/>
      <c r="D65" s="20" t="n"/>
      <c r="E65" s="20" t="n"/>
      <c r="F65" s="20" t="n"/>
      <c r="G65" s="20" t="n"/>
      <c r="H65" s="30" t="n"/>
      <c r="I65" s="30" t="n"/>
      <c r="J65" s="30" t="n"/>
      <c r="K65" s="31">
        <f>IF($B65="","",IF(ISNUMBER($J65),$J65,$I65))</f>
        <v/>
      </c>
      <c r="L65" s="32">
        <f>IF($B65="","",IFERROR(VLOOKUP($G65,FXRates,4,FALSE),1))</f>
        <v/>
      </c>
      <c r="M65" s="33">
        <f>IF($B65="","",$H65*$K65*$L65)</f>
        <v/>
      </c>
      <c r="N65" s="21" t="n"/>
      <c r="O65" s="14">
        <f>IF($B65="","",IF($D65=CashLabel,IF(ISNUMBER($N65),$N65,1),MIN(IF(ISNUMBER($N65),$N65,IFERROR(VLOOKUP($D65,LVTable,2,FALSE),0)),LVCap)))</f>
        <v/>
      </c>
      <c r="P65" s="25">
        <f>IF($B65="","",$M65*$O65)</f>
        <v/>
      </c>
      <c r="Q65" s="16">
        <f>IF($B65="","",IFERROR(VLOOKUP($G65,FXRates,5,FALSE),$G65))</f>
        <v/>
      </c>
      <c r="R65" s="14">
        <f>IF($B65="","",IF($D65=CashLabel,"",SUMIFS($P$5:$P$204,$B$5:$B$204,$B65,$D$5:$D$204,"&lt;&gt;"&amp;CashLabel)/ConcDenom))</f>
        <v/>
      </c>
      <c r="S65" s="14">
        <f>IF($B65="","",IF($D65=CashLabel,"",SUMIFS($P$5:$P$204,$E$5:$E$204,$E65,$D$5:$D$204,"&lt;&gt;"&amp;CashLabel)/ConcDenom))</f>
        <v/>
      </c>
      <c r="T65" s="14">
        <f>IF($B65="","",IF($D65=CashLabel,"",SUMIFS($P$5:$P$204,$F$5:$F$204,$F65,$D$5:$D$204,"&lt;&gt;"&amp;CashLabel)/ConcDenom))</f>
        <v/>
      </c>
      <c r="U65" s="14">
        <f>IF($B65="","",IF($D65=CashLabel,"",SUMIFS($P$5:$P$204,$D$5:$D$204,$D65,$D$5:$D$204,"&lt;&gt;"&amp;CashLabel)/ConcDenom))</f>
        <v/>
      </c>
      <c r="V65" s="15">
        <f>IF($B65="","",IF($D65=CashLabel,1,IF($R65&gt;ThrSingle,ThrSingle/$R65,1)))</f>
        <v/>
      </c>
      <c r="W65" s="15">
        <f>IF($B65="","",IF($D65=CashLabel,1,IF($S65&gt;ThrIssuer,ThrIssuer/$S65,1)))</f>
        <v/>
      </c>
      <c r="X65" s="15">
        <f>IF($B65="","",IF($D65=CashLabel,1,IF($T65&gt;IFERROR(VLOOKUP($F65,CountryThr,2,FALSE),DefThrCountry),IFERROR(VLOOKUP($F65,CountryThr,2,FALSE),DefThrCountry)/$T65,1)))</f>
        <v/>
      </c>
      <c r="Y65" s="15">
        <f>IF($B65="","",IF($D65=CashLabel,1,IF($U65&gt;IFERROR(VLOOKUP($D65,LVTable,3,FALSE),DefThrAsset),IFERROR(VLOOKUP($D65,LVTable,3,FALSE),DefThrAsset)/$U65,1)))</f>
        <v/>
      </c>
      <c r="Z65" s="34">
        <f>IF($B65="","",IF($D65=CashLabel,1,MIN($V65:$Y65)))</f>
        <v/>
      </c>
      <c r="AA65" s="25">
        <f>IF($B65="","",$P65*$Z65)</f>
        <v/>
      </c>
      <c r="AB65" s="33">
        <f>IF($B65="","",$P65-$AA65)</f>
        <v/>
      </c>
      <c r="AC65" s="21" t="n"/>
      <c r="AD65" s="33">
        <f>IF($B65="","",$M65*(1+IF(ISNUMBER($AC65),$AC65,0)))</f>
        <v/>
      </c>
      <c r="AE65" s="33">
        <f>IF($B65="","",$AD65*$O65)</f>
        <v/>
      </c>
      <c r="AF65" s="14">
        <f>IF($B65="","",IF($D65=CashLabel,"",SUMIFS($AE$5:$AE$204,$B$5:$B$204,$B65,$D$5:$D$204,"&lt;&gt;"&amp;CashLabel)/ConcDenomStr))</f>
        <v/>
      </c>
      <c r="AG65" s="14">
        <f>IF($B65="","",IF($D65=CashLabel,"",SUMIFS($AE$5:$AE$204,$E$5:$E$204,$E65,$D$5:$D$204,"&lt;&gt;"&amp;CashLabel)/ConcDenomStr))</f>
        <v/>
      </c>
      <c r="AH65" s="14">
        <f>IF($B65="","",IF($D65=CashLabel,"",SUMIFS($AE$5:$AE$204,$F$5:$F$204,$F65,$D$5:$D$204,"&lt;&gt;"&amp;CashLabel)/ConcDenomStr))</f>
        <v/>
      </c>
      <c r="AI65" s="14">
        <f>IF($B65="","",IF($D65=CashLabel,"",SUMIFS($AE$5:$AE$204,$D$5:$D$204,$D65,$D$5:$D$204,"&lt;&gt;"&amp;CashLabel)/ConcDenomStr))</f>
        <v/>
      </c>
      <c r="AJ65" s="15">
        <f>IF($B65="","",IF($D65=CashLabel,1,MIN(IF($AF65&gt;ThrSingle,ThrSingle/$AF65,1),IF($AG65&gt;ThrIssuer,ThrIssuer/$AG65,1),IF($AH65&gt;IFERROR(VLOOKUP($F65,CountryThr,2,FALSE),DefThrCountry),IFERROR(VLOOKUP($F65,CountryThr,2,FALSE),DefThrCountry)/$AH65,1),IF($AI65&gt;IFERROR(VLOOKUP($D65,LVTable,3,FALSE),DefThrAsset),IFERROR(VLOOKUP($D65,LVTable,3,FALSE),DefThrAsset)/$AI65,1))))</f>
        <v/>
      </c>
      <c r="AK65" s="33">
        <f>IF($B65="","",$AE65*$AJ65)</f>
        <v/>
      </c>
    </row>
    <row r="66">
      <c r="A66" s="16">
        <f>IF($B66="","",ROW()-4)</f>
        <v/>
      </c>
      <c r="B66" s="20" t="n"/>
      <c r="C66" s="20" t="n"/>
      <c r="D66" s="20" t="n"/>
      <c r="E66" s="20" t="n"/>
      <c r="F66" s="20" t="n"/>
      <c r="G66" s="20" t="n"/>
      <c r="H66" s="30" t="n"/>
      <c r="I66" s="30" t="n"/>
      <c r="J66" s="30" t="n"/>
      <c r="K66" s="31">
        <f>IF($B66="","",IF(ISNUMBER($J66),$J66,$I66))</f>
        <v/>
      </c>
      <c r="L66" s="32">
        <f>IF($B66="","",IFERROR(VLOOKUP($G66,FXRates,4,FALSE),1))</f>
        <v/>
      </c>
      <c r="M66" s="33">
        <f>IF($B66="","",$H66*$K66*$L66)</f>
        <v/>
      </c>
      <c r="N66" s="21" t="n"/>
      <c r="O66" s="14">
        <f>IF($B66="","",IF($D66=CashLabel,IF(ISNUMBER($N66),$N66,1),MIN(IF(ISNUMBER($N66),$N66,IFERROR(VLOOKUP($D66,LVTable,2,FALSE),0)),LVCap)))</f>
        <v/>
      </c>
      <c r="P66" s="25">
        <f>IF($B66="","",$M66*$O66)</f>
        <v/>
      </c>
      <c r="Q66" s="16">
        <f>IF($B66="","",IFERROR(VLOOKUP($G66,FXRates,5,FALSE),$G66))</f>
        <v/>
      </c>
      <c r="R66" s="14">
        <f>IF($B66="","",IF($D66=CashLabel,"",SUMIFS($P$5:$P$204,$B$5:$B$204,$B66,$D$5:$D$204,"&lt;&gt;"&amp;CashLabel)/ConcDenom))</f>
        <v/>
      </c>
      <c r="S66" s="14">
        <f>IF($B66="","",IF($D66=CashLabel,"",SUMIFS($P$5:$P$204,$E$5:$E$204,$E66,$D$5:$D$204,"&lt;&gt;"&amp;CashLabel)/ConcDenom))</f>
        <v/>
      </c>
      <c r="T66" s="14">
        <f>IF($B66="","",IF($D66=CashLabel,"",SUMIFS($P$5:$P$204,$F$5:$F$204,$F66,$D$5:$D$204,"&lt;&gt;"&amp;CashLabel)/ConcDenom))</f>
        <v/>
      </c>
      <c r="U66" s="14">
        <f>IF($B66="","",IF($D66=CashLabel,"",SUMIFS($P$5:$P$204,$D$5:$D$204,$D66,$D$5:$D$204,"&lt;&gt;"&amp;CashLabel)/ConcDenom))</f>
        <v/>
      </c>
      <c r="V66" s="15">
        <f>IF($B66="","",IF($D66=CashLabel,1,IF($R66&gt;ThrSingle,ThrSingle/$R66,1)))</f>
        <v/>
      </c>
      <c r="W66" s="15">
        <f>IF($B66="","",IF($D66=CashLabel,1,IF($S66&gt;ThrIssuer,ThrIssuer/$S66,1)))</f>
        <v/>
      </c>
      <c r="X66" s="15">
        <f>IF($B66="","",IF($D66=CashLabel,1,IF($T66&gt;IFERROR(VLOOKUP($F66,CountryThr,2,FALSE),DefThrCountry),IFERROR(VLOOKUP($F66,CountryThr,2,FALSE),DefThrCountry)/$T66,1)))</f>
        <v/>
      </c>
      <c r="Y66" s="15">
        <f>IF($B66="","",IF($D66=CashLabel,1,IF($U66&gt;IFERROR(VLOOKUP($D66,LVTable,3,FALSE),DefThrAsset),IFERROR(VLOOKUP($D66,LVTable,3,FALSE),DefThrAsset)/$U66,1)))</f>
        <v/>
      </c>
      <c r="Z66" s="34">
        <f>IF($B66="","",IF($D66=CashLabel,1,MIN($V66:$Y66)))</f>
        <v/>
      </c>
      <c r="AA66" s="25">
        <f>IF($B66="","",$P66*$Z66)</f>
        <v/>
      </c>
      <c r="AB66" s="33">
        <f>IF($B66="","",$P66-$AA66)</f>
        <v/>
      </c>
      <c r="AC66" s="21" t="n"/>
      <c r="AD66" s="33">
        <f>IF($B66="","",$M66*(1+IF(ISNUMBER($AC66),$AC66,0)))</f>
        <v/>
      </c>
      <c r="AE66" s="33">
        <f>IF($B66="","",$AD66*$O66)</f>
        <v/>
      </c>
      <c r="AF66" s="14">
        <f>IF($B66="","",IF($D66=CashLabel,"",SUMIFS($AE$5:$AE$204,$B$5:$B$204,$B66,$D$5:$D$204,"&lt;&gt;"&amp;CashLabel)/ConcDenomStr))</f>
        <v/>
      </c>
      <c r="AG66" s="14">
        <f>IF($B66="","",IF($D66=CashLabel,"",SUMIFS($AE$5:$AE$204,$E$5:$E$204,$E66,$D$5:$D$204,"&lt;&gt;"&amp;CashLabel)/ConcDenomStr))</f>
        <v/>
      </c>
      <c r="AH66" s="14">
        <f>IF($B66="","",IF($D66=CashLabel,"",SUMIFS($AE$5:$AE$204,$F$5:$F$204,$F66,$D$5:$D$204,"&lt;&gt;"&amp;CashLabel)/ConcDenomStr))</f>
        <v/>
      </c>
      <c r="AI66" s="14">
        <f>IF($B66="","",IF($D66=CashLabel,"",SUMIFS($AE$5:$AE$204,$D$5:$D$204,$D66,$D$5:$D$204,"&lt;&gt;"&amp;CashLabel)/ConcDenomStr))</f>
        <v/>
      </c>
      <c r="AJ66" s="15">
        <f>IF($B66="","",IF($D66=CashLabel,1,MIN(IF($AF66&gt;ThrSingle,ThrSingle/$AF66,1),IF($AG66&gt;ThrIssuer,ThrIssuer/$AG66,1),IF($AH66&gt;IFERROR(VLOOKUP($F66,CountryThr,2,FALSE),DefThrCountry),IFERROR(VLOOKUP($F66,CountryThr,2,FALSE),DefThrCountry)/$AH66,1),IF($AI66&gt;IFERROR(VLOOKUP($D66,LVTable,3,FALSE),DefThrAsset),IFERROR(VLOOKUP($D66,LVTable,3,FALSE),DefThrAsset)/$AI66,1))))</f>
        <v/>
      </c>
      <c r="AK66" s="33">
        <f>IF($B66="","",$AE66*$AJ66)</f>
        <v/>
      </c>
    </row>
    <row r="67">
      <c r="A67" s="16">
        <f>IF($B67="","",ROW()-4)</f>
        <v/>
      </c>
      <c r="B67" s="20" t="n"/>
      <c r="C67" s="20" t="n"/>
      <c r="D67" s="20" t="n"/>
      <c r="E67" s="20" t="n"/>
      <c r="F67" s="20" t="n"/>
      <c r="G67" s="20" t="n"/>
      <c r="H67" s="30" t="n"/>
      <c r="I67" s="30" t="n"/>
      <c r="J67" s="30" t="n"/>
      <c r="K67" s="31">
        <f>IF($B67="","",IF(ISNUMBER($J67),$J67,$I67))</f>
        <v/>
      </c>
      <c r="L67" s="32">
        <f>IF($B67="","",IFERROR(VLOOKUP($G67,FXRates,4,FALSE),1))</f>
        <v/>
      </c>
      <c r="M67" s="33">
        <f>IF($B67="","",$H67*$K67*$L67)</f>
        <v/>
      </c>
      <c r="N67" s="21" t="n"/>
      <c r="O67" s="14">
        <f>IF($B67="","",IF($D67=CashLabel,IF(ISNUMBER($N67),$N67,1),MIN(IF(ISNUMBER($N67),$N67,IFERROR(VLOOKUP($D67,LVTable,2,FALSE),0)),LVCap)))</f>
        <v/>
      </c>
      <c r="P67" s="25">
        <f>IF($B67="","",$M67*$O67)</f>
        <v/>
      </c>
      <c r="Q67" s="16">
        <f>IF($B67="","",IFERROR(VLOOKUP($G67,FXRates,5,FALSE),$G67))</f>
        <v/>
      </c>
      <c r="R67" s="14">
        <f>IF($B67="","",IF($D67=CashLabel,"",SUMIFS($P$5:$P$204,$B$5:$B$204,$B67,$D$5:$D$204,"&lt;&gt;"&amp;CashLabel)/ConcDenom))</f>
        <v/>
      </c>
      <c r="S67" s="14">
        <f>IF($B67="","",IF($D67=CashLabel,"",SUMIFS($P$5:$P$204,$E$5:$E$204,$E67,$D$5:$D$204,"&lt;&gt;"&amp;CashLabel)/ConcDenom))</f>
        <v/>
      </c>
      <c r="T67" s="14">
        <f>IF($B67="","",IF($D67=CashLabel,"",SUMIFS($P$5:$P$204,$F$5:$F$204,$F67,$D$5:$D$204,"&lt;&gt;"&amp;CashLabel)/ConcDenom))</f>
        <v/>
      </c>
      <c r="U67" s="14">
        <f>IF($B67="","",IF($D67=CashLabel,"",SUMIFS($P$5:$P$204,$D$5:$D$204,$D67,$D$5:$D$204,"&lt;&gt;"&amp;CashLabel)/ConcDenom))</f>
        <v/>
      </c>
      <c r="V67" s="15">
        <f>IF($B67="","",IF($D67=CashLabel,1,IF($R67&gt;ThrSingle,ThrSingle/$R67,1)))</f>
        <v/>
      </c>
      <c r="W67" s="15">
        <f>IF($B67="","",IF($D67=CashLabel,1,IF($S67&gt;ThrIssuer,ThrIssuer/$S67,1)))</f>
        <v/>
      </c>
      <c r="X67" s="15">
        <f>IF($B67="","",IF($D67=CashLabel,1,IF($T67&gt;IFERROR(VLOOKUP($F67,CountryThr,2,FALSE),DefThrCountry),IFERROR(VLOOKUP($F67,CountryThr,2,FALSE),DefThrCountry)/$T67,1)))</f>
        <v/>
      </c>
      <c r="Y67" s="15">
        <f>IF($B67="","",IF($D67=CashLabel,1,IF($U67&gt;IFERROR(VLOOKUP($D67,LVTable,3,FALSE),DefThrAsset),IFERROR(VLOOKUP($D67,LVTable,3,FALSE),DefThrAsset)/$U67,1)))</f>
        <v/>
      </c>
      <c r="Z67" s="34">
        <f>IF($B67="","",IF($D67=CashLabel,1,MIN($V67:$Y67)))</f>
        <v/>
      </c>
      <c r="AA67" s="25">
        <f>IF($B67="","",$P67*$Z67)</f>
        <v/>
      </c>
      <c r="AB67" s="33">
        <f>IF($B67="","",$P67-$AA67)</f>
        <v/>
      </c>
      <c r="AC67" s="21" t="n"/>
      <c r="AD67" s="33">
        <f>IF($B67="","",$M67*(1+IF(ISNUMBER($AC67),$AC67,0)))</f>
        <v/>
      </c>
      <c r="AE67" s="33">
        <f>IF($B67="","",$AD67*$O67)</f>
        <v/>
      </c>
      <c r="AF67" s="14">
        <f>IF($B67="","",IF($D67=CashLabel,"",SUMIFS($AE$5:$AE$204,$B$5:$B$204,$B67,$D$5:$D$204,"&lt;&gt;"&amp;CashLabel)/ConcDenomStr))</f>
        <v/>
      </c>
      <c r="AG67" s="14">
        <f>IF($B67="","",IF($D67=CashLabel,"",SUMIFS($AE$5:$AE$204,$E$5:$E$204,$E67,$D$5:$D$204,"&lt;&gt;"&amp;CashLabel)/ConcDenomStr))</f>
        <v/>
      </c>
      <c r="AH67" s="14">
        <f>IF($B67="","",IF($D67=CashLabel,"",SUMIFS($AE$5:$AE$204,$F$5:$F$204,$F67,$D$5:$D$204,"&lt;&gt;"&amp;CashLabel)/ConcDenomStr))</f>
        <v/>
      </c>
      <c r="AI67" s="14">
        <f>IF($B67="","",IF($D67=CashLabel,"",SUMIFS($AE$5:$AE$204,$D$5:$D$204,$D67,$D$5:$D$204,"&lt;&gt;"&amp;CashLabel)/ConcDenomStr))</f>
        <v/>
      </c>
      <c r="AJ67" s="15">
        <f>IF($B67="","",IF($D67=CashLabel,1,MIN(IF($AF67&gt;ThrSingle,ThrSingle/$AF67,1),IF($AG67&gt;ThrIssuer,ThrIssuer/$AG67,1),IF($AH67&gt;IFERROR(VLOOKUP($F67,CountryThr,2,FALSE),DefThrCountry),IFERROR(VLOOKUP($F67,CountryThr,2,FALSE),DefThrCountry)/$AH67,1),IF($AI67&gt;IFERROR(VLOOKUP($D67,LVTable,3,FALSE),DefThrAsset),IFERROR(VLOOKUP($D67,LVTable,3,FALSE),DefThrAsset)/$AI67,1))))</f>
        <v/>
      </c>
      <c r="AK67" s="33">
        <f>IF($B67="","",$AE67*$AJ67)</f>
        <v/>
      </c>
    </row>
    <row r="68">
      <c r="A68" s="16">
        <f>IF($B68="","",ROW()-4)</f>
        <v/>
      </c>
      <c r="B68" s="20" t="n"/>
      <c r="C68" s="20" t="n"/>
      <c r="D68" s="20" t="n"/>
      <c r="E68" s="20" t="n"/>
      <c r="F68" s="20" t="n"/>
      <c r="G68" s="20" t="n"/>
      <c r="H68" s="30" t="n"/>
      <c r="I68" s="30" t="n"/>
      <c r="J68" s="30" t="n"/>
      <c r="K68" s="31">
        <f>IF($B68="","",IF(ISNUMBER($J68),$J68,$I68))</f>
        <v/>
      </c>
      <c r="L68" s="32">
        <f>IF($B68="","",IFERROR(VLOOKUP($G68,FXRates,4,FALSE),1))</f>
        <v/>
      </c>
      <c r="M68" s="33">
        <f>IF($B68="","",$H68*$K68*$L68)</f>
        <v/>
      </c>
      <c r="N68" s="21" t="n"/>
      <c r="O68" s="14">
        <f>IF($B68="","",IF($D68=CashLabel,IF(ISNUMBER($N68),$N68,1),MIN(IF(ISNUMBER($N68),$N68,IFERROR(VLOOKUP($D68,LVTable,2,FALSE),0)),LVCap)))</f>
        <v/>
      </c>
      <c r="P68" s="25">
        <f>IF($B68="","",$M68*$O68)</f>
        <v/>
      </c>
      <c r="Q68" s="16">
        <f>IF($B68="","",IFERROR(VLOOKUP($G68,FXRates,5,FALSE),$G68))</f>
        <v/>
      </c>
      <c r="R68" s="14">
        <f>IF($B68="","",IF($D68=CashLabel,"",SUMIFS($P$5:$P$204,$B$5:$B$204,$B68,$D$5:$D$204,"&lt;&gt;"&amp;CashLabel)/ConcDenom))</f>
        <v/>
      </c>
      <c r="S68" s="14">
        <f>IF($B68="","",IF($D68=CashLabel,"",SUMIFS($P$5:$P$204,$E$5:$E$204,$E68,$D$5:$D$204,"&lt;&gt;"&amp;CashLabel)/ConcDenom))</f>
        <v/>
      </c>
      <c r="T68" s="14">
        <f>IF($B68="","",IF($D68=CashLabel,"",SUMIFS($P$5:$P$204,$F$5:$F$204,$F68,$D$5:$D$204,"&lt;&gt;"&amp;CashLabel)/ConcDenom))</f>
        <v/>
      </c>
      <c r="U68" s="14">
        <f>IF($B68="","",IF($D68=CashLabel,"",SUMIFS($P$5:$P$204,$D$5:$D$204,$D68,$D$5:$D$204,"&lt;&gt;"&amp;CashLabel)/ConcDenom))</f>
        <v/>
      </c>
      <c r="V68" s="15">
        <f>IF($B68="","",IF($D68=CashLabel,1,IF($R68&gt;ThrSingle,ThrSingle/$R68,1)))</f>
        <v/>
      </c>
      <c r="W68" s="15">
        <f>IF($B68="","",IF($D68=CashLabel,1,IF($S68&gt;ThrIssuer,ThrIssuer/$S68,1)))</f>
        <v/>
      </c>
      <c r="X68" s="15">
        <f>IF($B68="","",IF($D68=CashLabel,1,IF($T68&gt;IFERROR(VLOOKUP($F68,CountryThr,2,FALSE),DefThrCountry),IFERROR(VLOOKUP($F68,CountryThr,2,FALSE),DefThrCountry)/$T68,1)))</f>
        <v/>
      </c>
      <c r="Y68" s="15">
        <f>IF($B68="","",IF($D68=CashLabel,1,IF($U68&gt;IFERROR(VLOOKUP($D68,LVTable,3,FALSE),DefThrAsset),IFERROR(VLOOKUP($D68,LVTable,3,FALSE),DefThrAsset)/$U68,1)))</f>
        <v/>
      </c>
      <c r="Z68" s="34">
        <f>IF($B68="","",IF($D68=CashLabel,1,MIN($V68:$Y68)))</f>
        <v/>
      </c>
      <c r="AA68" s="25">
        <f>IF($B68="","",$P68*$Z68)</f>
        <v/>
      </c>
      <c r="AB68" s="33">
        <f>IF($B68="","",$P68-$AA68)</f>
        <v/>
      </c>
      <c r="AC68" s="21" t="n"/>
      <c r="AD68" s="33">
        <f>IF($B68="","",$M68*(1+IF(ISNUMBER($AC68),$AC68,0)))</f>
        <v/>
      </c>
      <c r="AE68" s="33">
        <f>IF($B68="","",$AD68*$O68)</f>
        <v/>
      </c>
      <c r="AF68" s="14">
        <f>IF($B68="","",IF($D68=CashLabel,"",SUMIFS($AE$5:$AE$204,$B$5:$B$204,$B68,$D$5:$D$204,"&lt;&gt;"&amp;CashLabel)/ConcDenomStr))</f>
        <v/>
      </c>
      <c r="AG68" s="14">
        <f>IF($B68="","",IF($D68=CashLabel,"",SUMIFS($AE$5:$AE$204,$E$5:$E$204,$E68,$D$5:$D$204,"&lt;&gt;"&amp;CashLabel)/ConcDenomStr))</f>
        <v/>
      </c>
      <c r="AH68" s="14">
        <f>IF($B68="","",IF($D68=CashLabel,"",SUMIFS($AE$5:$AE$204,$F$5:$F$204,$F68,$D$5:$D$204,"&lt;&gt;"&amp;CashLabel)/ConcDenomStr))</f>
        <v/>
      </c>
      <c r="AI68" s="14">
        <f>IF($B68="","",IF($D68=CashLabel,"",SUMIFS($AE$5:$AE$204,$D$5:$D$204,$D68,$D$5:$D$204,"&lt;&gt;"&amp;CashLabel)/ConcDenomStr))</f>
        <v/>
      </c>
      <c r="AJ68" s="15">
        <f>IF($B68="","",IF($D68=CashLabel,1,MIN(IF($AF68&gt;ThrSingle,ThrSingle/$AF68,1),IF($AG68&gt;ThrIssuer,ThrIssuer/$AG68,1),IF($AH68&gt;IFERROR(VLOOKUP($F68,CountryThr,2,FALSE),DefThrCountry),IFERROR(VLOOKUP($F68,CountryThr,2,FALSE),DefThrCountry)/$AH68,1),IF($AI68&gt;IFERROR(VLOOKUP($D68,LVTable,3,FALSE),DefThrAsset),IFERROR(VLOOKUP($D68,LVTable,3,FALSE),DefThrAsset)/$AI68,1))))</f>
        <v/>
      </c>
      <c r="AK68" s="33">
        <f>IF($B68="","",$AE68*$AJ68)</f>
        <v/>
      </c>
    </row>
    <row r="69">
      <c r="A69" s="16">
        <f>IF($B69="","",ROW()-4)</f>
        <v/>
      </c>
      <c r="B69" s="20" t="n"/>
      <c r="C69" s="20" t="n"/>
      <c r="D69" s="20" t="n"/>
      <c r="E69" s="20" t="n"/>
      <c r="F69" s="20" t="n"/>
      <c r="G69" s="20" t="n"/>
      <c r="H69" s="30" t="n"/>
      <c r="I69" s="30" t="n"/>
      <c r="J69" s="30" t="n"/>
      <c r="K69" s="31">
        <f>IF($B69="","",IF(ISNUMBER($J69),$J69,$I69))</f>
        <v/>
      </c>
      <c r="L69" s="32">
        <f>IF($B69="","",IFERROR(VLOOKUP($G69,FXRates,4,FALSE),1))</f>
        <v/>
      </c>
      <c r="M69" s="33">
        <f>IF($B69="","",$H69*$K69*$L69)</f>
        <v/>
      </c>
      <c r="N69" s="21" t="n"/>
      <c r="O69" s="14">
        <f>IF($B69="","",IF($D69=CashLabel,IF(ISNUMBER($N69),$N69,1),MIN(IF(ISNUMBER($N69),$N69,IFERROR(VLOOKUP($D69,LVTable,2,FALSE),0)),LVCap)))</f>
        <v/>
      </c>
      <c r="P69" s="25">
        <f>IF($B69="","",$M69*$O69)</f>
        <v/>
      </c>
      <c r="Q69" s="16">
        <f>IF($B69="","",IFERROR(VLOOKUP($G69,FXRates,5,FALSE),$G69))</f>
        <v/>
      </c>
      <c r="R69" s="14">
        <f>IF($B69="","",IF($D69=CashLabel,"",SUMIFS($P$5:$P$204,$B$5:$B$204,$B69,$D$5:$D$204,"&lt;&gt;"&amp;CashLabel)/ConcDenom))</f>
        <v/>
      </c>
      <c r="S69" s="14">
        <f>IF($B69="","",IF($D69=CashLabel,"",SUMIFS($P$5:$P$204,$E$5:$E$204,$E69,$D$5:$D$204,"&lt;&gt;"&amp;CashLabel)/ConcDenom))</f>
        <v/>
      </c>
      <c r="T69" s="14">
        <f>IF($B69="","",IF($D69=CashLabel,"",SUMIFS($P$5:$P$204,$F$5:$F$204,$F69,$D$5:$D$204,"&lt;&gt;"&amp;CashLabel)/ConcDenom))</f>
        <v/>
      </c>
      <c r="U69" s="14">
        <f>IF($B69="","",IF($D69=CashLabel,"",SUMIFS($P$5:$P$204,$D$5:$D$204,$D69,$D$5:$D$204,"&lt;&gt;"&amp;CashLabel)/ConcDenom))</f>
        <v/>
      </c>
      <c r="V69" s="15">
        <f>IF($B69="","",IF($D69=CashLabel,1,IF($R69&gt;ThrSingle,ThrSingle/$R69,1)))</f>
        <v/>
      </c>
      <c r="W69" s="15">
        <f>IF($B69="","",IF($D69=CashLabel,1,IF($S69&gt;ThrIssuer,ThrIssuer/$S69,1)))</f>
        <v/>
      </c>
      <c r="X69" s="15">
        <f>IF($B69="","",IF($D69=CashLabel,1,IF($T69&gt;IFERROR(VLOOKUP($F69,CountryThr,2,FALSE),DefThrCountry),IFERROR(VLOOKUP($F69,CountryThr,2,FALSE),DefThrCountry)/$T69,1)))</f>
        <v/>
      </c>
      <c r="Y69" s="15">
        <f>IF($B69="","",IF($D69=CashLabel,1,IF($U69&gt;IFERROR(VLOOKUP($D69,LVTable,3,FALSE),DefThrAsset),IFERROR(VLOOKUP($D69,LVTable,3,FALSE),DefThrAsset)/$U69,1)))</f>
        <v/>
      </c>
      <c r="Z69" s="34">
        <f>IF($B69="","",IF($D69=CashLabel,1,MIN($V69:$Y69)))</f>
        <v/>
      </c>
      <c r="AA69" s="25">
        <f>IF($B69="","",$P69*$Z69)</f>
        <v/>
      </c>
      <c r="AB69" s="33">
        <f>IF($B69="","",$P69-$AA69)</f>
        <v/>
      </c>
      <c r="AC69" s="21" t="n"/>
      <c r="AD69" s="33">
        <f>IF($B69="","",$M69*(1+IF(ISNUMBER($AC69),$AC69,0)))</f>
        <v/>
      </c>
      <c r="AE69" s="33">
        <f>IF($B69="","",$AD69*$O69)</f>
        <v/>
      </c>
      <c r="AF69" s="14">
        <f>IF($B69="","",IF($D69=CashLabel,"",SUMIFS($AE$5:$AE$204,$B$5:$B$204,$B69,$D$5:$D$204,"&lt;&gt;"&amp;CashLabel)/ConcDenomStr))</f>
        <v/>
      </c>
      <c r="AG69" s="14">
        <f>IF($B69="","",IF($D69=CashLabel,"",SUMIFS($AE$5:$AE$204,$E$5:$E$204,$E69,$D$5:$D$204,"&lt;&gt;"&amp;CashLabel)/ConcDenomStr))</f>
        <v/>
      </c>
      <c r="AH69" s="14">
        <f>IF($B69="","",IF($D69=CashLabel,"",SUMIFS($AE$5:$AE$204,$F$5:$F$204,$F69,$D$5:$D$204,"&lt;&gt;"&amp;CashLabel)/ConcDenomStr))</f>
        <v/>
      </c>
      <c r="AI69" s="14">
        <f>IF($B69="","",IF($D69=CashLabel,"",SUMIFS($AE$5:$AE$204,$D$5:$D$204,$D69,$D$5:$D$204,"&lt;&gt;"&amp;CashLabel)/ConcDenomStr))</f>
        <v/>
      </c>
      <c r="AJ69" s="15">
        <f>IF($B69="","",IF($D69=CashLabel,1,MIN(IF($AF69&gt;ThrSingle,ThrSingle/$AF69,1),IF($AG69&gt;ThrIssuer,ThrIssuer/$AG69,1),IF($AH69&gt;IFERROR(VLOOKUP($F69,CountryThr,2,FALSE),DefThrCountry),IFERROR(VLOOKUP($F69,CountryThr,2,FALSE),DefThrCountry)/$AH69,1),IF($AI69&gt;IFERROR(VLOOKUP($D69,LVTable,3,FALSE),DefThrAsset),IFERROR(VLOOKUP($D69,LVTable,3,FALSE),DefThrAsset)/$AI69,1))))</f>
        <v/>
      </c>
      <c r="AK69" s="33">
        <f>IF($B69="","",$AE69*$AJ69)</f>
        <v/>
      </c>
    </row>
    <row r="70">
      <c r="A70" s="16">
        <f>IF($B70="","",ROW()-4)</f>
        <v/>
      </c>
      <c r="B70" s="20" t="n"/>
      <c r="C70" s="20" t="n"/>
      <c r="D70" s="20" t="n"/>
      <c r="E70" s="20" t="n"/>
      <c r="F70" s="20" t="n"/>
      <c r="G70" s="20" t="n"/>
      <c r="H70" s="30" t="n"/>
      <c r="I70" s="30" t="n"/>
      <c r="J70" s="30" t="n"/>
      <c r="K70" s="31">
        <f>IF($B70="","",IF(ISNUMBER($J70),$J70,$I70))</f>
        <v/>
      </c>
      <c r="L70" s="32">
        <f>IF($B70="","",IFERROR(VLOOKUP($G70,FXRates,4,FALSE),1))</f>
        <v/>
      </c>
      <c r="M70" s="33">
        <f>IF($B70="","",$H70*$K70*$L70)</f>
        <v/>
      </c>
      <c r="N70" s="21" t="n"/>
      <c r="O70" s="14">
        <f>IF($B70="","",IF($D70=CashLabel,IF(ISNUMBER($N70),$N70,1),MIN(IF(ISNUMBER($N70),$N70,IFERROR(VLOOKUP($D70,LVTable,2,FALSE),0)),LVCap)))</f>
        <v/>
      </c>
      <c r="P70" s="25">
        <f>IF($B70="","",$M70*$O70)</f>
        <v/>
      </c>
      <c r="Q70" s="16">
        <f>IF($B70="","",IFERROR(VLOOKUP($G70,FXRates,5,FALSE),$G70))</f>
        <v/>
      </c>
      <c r="R70" s="14">
        <f>IF($B70="","",IF($D70=CashLabel,"",SUMIFS($P$5:$P$204,$B$5:$B$204,$B70,$D$5:$D$204,"&lt;&gt;"&amp;CashLabel)/ConcDenom))</f>
        <v/>
      </c>
      <c r="S70" s="14">
        <f>IF($B70="","",IF($D70=CashLabel,"",SUMIFS($P$5:$P$204,$E$5:$E$204,$E70,$D$5:$D$204,"&lt;&gt;"&amp;CashLabel)/ConcDenom))</f>
        <v/>
      </c>
      <c r="T70" s="14">
        <f>IF($B70="","",IF($D70=CashLabel,"",SUMIFS($P$5:$P$204,$F$5:$F$204,$F70,$D$5:$D$204,"&lt;&gt;"&amp;CashLabel)/ConcDenom))</f>
        <v/>
      </c>
      <c r="U70" s="14">
        <f>IF($B70="","",IF($D70=CashLabel,"",SUMIFS($P$5:$P$204,$D$5:$D$204,$D70,$D$5:$D$204,"&lt;&gt;"&amp;CashLabel)/ConcDenom))</f>
        <v/>
      </c>
      <c r="V70" s="15">
        <f>IF($B70="","",IF($D70=CashLabel,1,IF($R70&gt;ThrSingle,ThrSingle/$R70,1)))</f>
        <v/>
      </c>
      <c r="W70" s="15">
        <f>IF($B70="","",IF($D70=CashLabel,1,IF($S70&gt;ThrIssuer,ThrIssuer/$S70,1)))</f>
        <v/>
      </c>
      <c r="X70" s="15">
        <f>IF($B70="","",IF($D70=CashLabel,1,IF($T70&gt;IFERROR(VLOOKUP($F70,CountryThr,2,FALSE),DefThrCountry),IFERROR(VLOOKUP($F70,CountryThr,2,FALSE),DefThrCountry)/$T70,1)))</f>
        <v/>
      </c>
      <c r="Y70" s="15">
        <f>IF($B70="","",IF($D70=CashLabel,1,IF($U70&gt;IFERROR(VLOOKUP($D70,LVTable,3,FALSE),DefThrAsset),IFERROR(VLOOKUP($D70,LVTable,3,FALSE),DefThrAsset)/$U70,1)))</f>
        <v/>
      </c>
      <c r="Z70" s="34">
        <f>IF($B70="","",IF($D70=CashLabel,1,MIN($V70:$Y70)))</f>
        <v/>
      </c>
      <c r="AA70" s="25">
        <f>IF($B70="","",$P70*$Z70)</f>
        <v/>
      </c>
      <c r="AB70" s="33">
        <f>IF($B70="","",$P70-$AA70)</f>
        <v/>
      </c>
      <c r="AC70" s="21" t="n"/>
      <c r="AD70" s="33">
        <f>IF($B70="","",$M70*(1+IF(ISNUMBER($AC70),$AC70,0)))</f>
        <v/>
      </c>
      <c r="AE70" s="33">
        <f>IF($B70="","",$AD70*$O70)</f>
        <v/>
      </c>
      <c r="AF70" s="14">
        <f>IF($B70="","",IF($D70=CashLabel,"",SUMIFS($AE$5:$AE$204,$B$5:$B$204,$B70,$D$5:$D$204,"&lt;&gt;"&amp;CashLabel)/ConcDenomStr))</f>
        <v/>
      </c>
      <c r="AG70" s="14">
        <f>IF($B70="","",IF($D70=CashLabel,"",SUMIFS($AE$5:$AE$204,$E$5:$E$204,$E70,$D$5:$D$204,"&lt;&gt;"&amp;CashLabel)/ConcDenomStr))</f>
        <v/>
      </c>
      <c r="AH70" s="14">
        <f>IF($B70="","",IF($D70=CashLabel,"",SUMIFS($AE$5:$AE$204,$F$5:$F$204,$F70,$D$5:$D$204,"&lt;&gt;"&amp;CashLabel)/ConcDenomStr))</f>
        <v/>
      </c>
      <c r="AI70" s="14">
        <f>IF($B70="","",IF($D70=CashLabel,"",SUMIFS($AE$5:$AE$204,$D$5:$D$204,$D70,$D$5:$D$204,"&lt;&gt;"&amp;CashLabel)/ConcDenomStr))</f>
        <v/>
      </c>
      <c r="AJ70" s="15">
        <f>IF($B70="","",IF($D70=CashLabel,1,MIN(IF($AF70&gt;ThrSingle,ThrSingle/$AF70,1),IF($AG70&gt;ThrIssuer,ThrIssuer/$AG70,1),IF($AH70&gt;IFERROR(VLOOKUP($F70,CountryThr,2,FALSE),DefThrCountry),IFERROR(VLOOKUP($F70,CountryThr,2,FALSE),DefThrCountry)/$AH70,1),IF($AI70&gt;IFERROR(VLOOKUP($D70,LVTable,3,FALSE),DefThrAsset),IFERROR(VLOOKUP($D70,LVTable,3,FALSE),DefThrAsset)/$AI70,1))))</f>
        <v/>
      </c>
      <c r="AK70" s="33">
        <f>IF($B70="","",$AE70*$AJ70)</f>
        <v/>
      </c>
    </row>
    <row r="71">
      <c r="A71" s="16">
        <f>IF($B71="","",ROW()-4)</f>
        <v/>
      </c>
      <c r="B71" s="20" t="n"/>
      <c r="C71" s="20" t="n"/>
      <c r="D71" s="20" t="n"/>
      <c r="E71" s="20" t="n"/>
      <c r="F71" s="20" t="n"/>
      <c r="G71" s="20" t="n"/>
      <c r="H71" s="30" t="n"/>
      <c r="I71" s="30" t="n"/>
      <c r="J71" s="30" t="n"/>
      <c r="K71" s="31">
        <f>IF($B71="","",IF(ISNUMBER($J71),$J71,$I71))</f>
        <v/>
      </c>
      <c r="L71" s="32">
        <f>IF($B71="","",IFERROR(VLOOKUP($G71,FXRates,4,FALSE),1))</f>
        <v/>
      </c>
      <c r="M71" s="33">
        <f>IF($B71="","",$H71*$K71*$L71)</f>
        <v/>
      </c>
      <c r="N71" s="21" t="n"/>
      <c r="O71" s="14">
        <f>IF($B71="","",IF($D71=CashLabel,IF(ISNUMBER($N71),$N71,1),MIN(IF(ISNUMBER($N71),$N71,IFERROR(VLOOKUP($D71,LVTable,2,FALSE),0)),LVCap)))</f>
        <v/>
      </c>
      <c r="P71" s="25">
        <f>IF($B71="","",$M71*$O71)</f>
        <v/>
      </c>
      <c r="Q71" s="16">
        <f>IF($B71="","",IFERROR(VLOOKUP($G71,FXRates,5,FALSE),$G71))</f>
        <v/>
      </c>
      <c r="R71" s="14">
        <f>IF($B71="","",IF($D71=CashLabel,"",SUMIFS($P$5:$P$204,$B$5:$B$204,$B71,$D$5:$D$204,"&lt;&gt;"&amp;CashLabel)/ConcDenom))</f>
        <v/>
      </c>
      <c r="S71" s="14">
        <f>IF($B71="","",IF($D71=CashLabel,"",SUMIFS($P$5:$P$204,$E$5:$E$204,$E71,$D$5:$D$204,"&lt;&gt;"&amp;CashLabel)/ConcDenom))</f>
        <v/>
      </c>
      <c r="T71" s="14">
        <f>IF($B71="","",IF($D71=CashLabel,"",SUMIFS($P$5:$P$204,$F$5:$F$204,$F71,$D$5:$D$204,"&lt;&gt;"&amp;CashLabel)/ConcDenom))</f>
        <v/>
      </c>
      <c r="U71" s="14">
        <f>IF($B71="","",IF($D71=CashLabel,"",SUMIFS($P$5:$P$204,$D$5:$D$204,$D71,$D$5:$D$204,"&lt;&gt;"&amp;CashLabel)/ConcDenom))</f>
        <v/>
      </c>
      <c r="V71" s="15">
        <f>IF($B71="","",IF($D71=CashLabel,1,IF($R71&gt;ThrSingle,ThrSingle/$R71,1)))</f>
        <v/>
      </c>
      <c r="W71" s="15">
        <f>IF($B71="","",IF($D71=CashLabel,1,IF($S71&gt;ThrIssuer,ThrIssuer/$S71,1)))</f>
        <v/>
      </c>
      <c r="X71" s="15">
        <f>IF($B71="","",IF($D71=CashLabel,1,IF($T71&gt;IFERROR(VLOOKUP($F71,CountryThr,2,FALSE),DefThrCountry),IFERROR(VLOOKUP($F71,CountryThr,2,FALSE),DefThrCountry)/$T71,1)))</f>
        <v/>
      </c>
      <c r="Y71" s="15">
        <f>IF($B71="","",IF($D71=CashLabel,1,IF($U71&gt;IFERROR(VLOOKUP($D71,LVTable,3,FALSE),DefThrAsset),IFERROR(VLOOKUP($D71,LVTable,3,FALSE),DefThrAsset)/$U71,1)))</f>
        <v/>
      </c>
      <c r="Z71" s="34">
        <f>IF($B71="","",IF($D71=CashLabel,1,MIN($V71:$Y71)))</f>
        <v/>
      </c>
      <c r="AA71" s="25">
        <f>IF($B71="","",$P71*$Z71)</f>
        <v/>
      </c>
      <c r="AB71" s="33">
        <f>IF($B71="","",$P71-$AA71)</f>
        <v/>
      </c>
      <c r="AC71" s="21" t="n"/>
      <c r="AD71" s="33">
        <f>IF($B71="","",$M71*(1+IF(ISNUMBER($AC71),$AC71,0)))</f>
        <v/>
      </c>
      <c r="AE71" s="33">
        <f>IF($B71="","",$AD71*$O71)</f>
        <v/>
      </c>
      <c r="AF71" s="14">
        <f>IF($B71="","",IF($D71=CashLabel,"",SUMIFS($AE$5:$AE$204,$B$5:$B$204,$B71,$D$5:$D$204,"&lt;&gt;"&amp;CashLabel)/ConcDenomStr))</f>
        <v/>
      </c>
      <c r="AG71" s="14">
        <f>IF($B71="","",IF($D71=CashLabel,"",SUMIFS($AE$5:$AE$204,$E$5:$E$204,$E71,$D$5:$D$204,"&lt;&gt;"&amp;CashLabel)/ConcDenomStr))</f>
        <v/>
      </c>
      <c r="AH71" s="14">
        <f>IF($B71="","",IF($D71=CashLabel,"",SUMIFS($AE$5:$AE$204,$F$5:$F$204,$F71,$D$5:$D$204,"&lt;&gt;"&amp;CashLabel)/ConcDenomStr))</f>
        <v/>
      </c>
      <c r="AI71" s="14">
        <f>IF($B71="","",IF($D71=CashLabel,"",SUMIFS($AE$5:$AE$204,$D$5:$D$204,$D71,$D$5:$D$204,"&lt;&gt;"&amp;CashLabel)/ConcDenomStr))</f>
        <v/>
      </c>
      <c r="AJ71" s="15">
        <f>IF($B71="","",IF($D71=CashLabel,1,MIN(IF($AF71&gt;ThrSingle,ThrSingle/$AF71,1),IF($AG71&gt;ThrIssuer,ThrIssuer/$AG71,1),IF($AH71&gt;IFERROR(VLOOKUP($F71,CountryThr,2,FALSE),DefThrCountry),IFERROR(VLOOKUP($F71,CountryThr,2,FALSE),DefThrCountry)/$AH71,1),IF($AI71&gt;IFERROR(VLOOKUP($D71,LVTable,3,FALSE),DefThrAsset),IFERROR(VLOOKUP($D71,LVTable,3,FALSE),DefThrAsset)/$AI71,1))))</f>
        <v/>
      </c>
      <c r="AK71" s="33">
        <f>IF($B71="","",$AE71*$AJ71)</f>
        <v/>
      </c>
    </row>
    <row r="72">
      <c r="A72" s="16">
        <f>IF($B72="","",ROW()-4)</f>
        <v/>
      </c>
      <c r="B72" s="20" t="n"/>
      <c r="C72" s="20" t="n"/>
      <c r="D72" s="20" t="n"/>
      <c r="E72" s="20" t="n"/>
      <c r="F72" s="20" t="n"/>
      <c r="G72" s="20" t="n"/>
      <c r="H72" s="30" t="n"/>
      <c r="I72" s="30" t="n"/>
      <c r="J72" s="30" t="n"/>
      <c r="K72" s="31">
        <f>IF($B72="","",IF(ISNUMBER($J72),$J72,$I72))</f>
        <v/>
      </c>
      <c r="L72" s="32">
        <f>IF($B72="","",IFERROR(VLOOKUP($G72,FXRates,4,FALSE),1))</f>
        <v/>
      </c>
      <c r="M72" s="33">
        <f>IF($B72="","",$H72*$K72*$L72)</f>
        <v/>
      </c>
      <c r="N72" s="21" t="n"/>
      <c r="O72" s="14">
        <f>IF($B72="","",IF($D72=CashLabel,IF(ISNUMBER($N72),$N72,1),MIN(IF(ISNUMBER($N72),$N72,IFERROR(VLOOKUP($D72,LVTable,2,FALSE),0)),LVCap)))</f>
        <v/>
      </c>
      <c r="P72" s="25">
        <f>IF($B72="","",$M72*$O72)</f>
        <v/>
      </c>
      <c r="Q72" s="16">
        <f>IF($B72="","",IFERROR(VLOOKUP($G72,FXRates,5,FALSE),$G72))</f>
        <v/>
      </c>
      <c r="R72" s="14">
        <f>IF($B72="","",IF($D72=CashLabel,"",SUMIFS($P$5:$P$204,$B$5:$B$204,$B72,$D$5:$D$204,"&lt;&gt;"&amp;CashLabel)/ConcDenom))</f>
        <v/>
      </c>
      <c r="S72" s="14">
        <f>IF($B72="","",IF($D72=CashLabel,"",SUMIFS($P$5:$P$204,$E$5:$E$204,$E72,$D$5:$D$204,"&lt;&gt;"&amp;CashLabel)/ConcDenom))</f>
        <v/>
      </c>
      <c r="T72" s="14">
        <f>IF($B72="","",IF($D72=CashLabel,"",SUMIFS($P$5:$P$204,$F$5:$F$204,$F72,$D$5:$D$204,"&lt;&gt;"&amp;CashLabel)/ConcDenom))</f>
        <v/>
      </c>
      <c r="U72" s="14">
        <f>IF($B72="","",IF($D72=CashLabel,"",SUMIFS($P$5:$P$204,$D$5:$D$204,$D72,$D$5:$D$204,"&lt;&gt;"&amp;CashLabel)/ConcDenom))</f>
        <v/>
      </c>
      <c r="V72" s="15">
        <f>IF($B72="","",IF($D72=CashLabel,1,IF($R72&gt;ThrSingle,ThrSingle/$R72,1)))</f>
        <v/>
      </c>
      <c r="W72" s="15">
        <f>IF($B72="","",IF($D72=CashLabel,1,IF($S72&gt;ThrIssuer,ThrIssuer/$S72,1)))</f>
        <v/>
      </c>
      <c r="X72" s="15">
        <f>IF($B72="","",IF($D72=CashLabel,1,IF($T72&gt;IFERROR(VLOOKUP($F72,CountryThr,2,FALSE),DefThrCountry),IFERROR(VLOOKUP($F72,CountryThr,2,FALSE),DefThrCountry)/$T72,1)))</f>
        <v/>
      </c>
      <c r="Y72" s="15">
        <f>IF($B72="","",IF($D72=CashLabel,1,IF($U72&gt;IFERROR(VLOOKUP($D72,LVTable,3,FALSE),DefThrAsset),IFERROR(VLOOKUP($D72,LVTable,3,FALSE),DefThrAsset)/$U72,1)))</f>
        <v/>
      </c>
      <c r="Z72" s="34">
        <f>IF($B72="","",IF($D72=CashLabel,1,MIN($V72:$Y72)))</f>
        <v/>
      </c>
      <c r="AA72" s="25">
        <f>IF($B72="","",$P72*$Z72)</f>
        <v/>
      </c>
      <c r="AB72" s="33">
        <f>IF($B72="","",$P72-$AA72)</f>
        <v/>
      </c>
      <c r="AC72" s="21" t="n"/>
      <c r="AD72" s="33">
        <f>IF($B72="","",$M72*(1+IF(ISNUMBER($AC72),$AC72,0)))</f>
        <v/>
      </c>
      <c r="AE72" s="33">
        <f>IF($B72="","",$AD72*$O72)</f>
        <v/>
      </c>
      <c r="AF72" s="14">
        <f>IF($B72="","",IF($D72=CashLabel,"",SUMIFS($AE$5:$AE$204,$B$5:$B$204,$B72,$D$5:$D$204,"&lt;&gt;"&amp;CashLabel)/ConcDenomStr))</f>
        <v/>
      </c>
      <c r="AG72" s="14">
        <f>IF($B72="","",IF($D72=CashLabel,"",SUMIFS($AE$5:$AE$204,$E$5:$E$204,$E72,$D$5:$D$204,"&lt;&gt;"&amp;CashLabel)/ConcDenomStr))</f>
        <v/>
      </c>
      <c r="AH72" s="14">
        <f>IF($B72="","",IF($D72=CashLabel,"",SUMIFS($AE$5:$AE$204,$F$5:$F$204,$F72,$D$5:$D$204,"&lt;&gt;"&amp;CashLabel)/ConcDenomStr))</f>
        <v/>
      </c>
      <c r="AI72" s="14">
        <f>IF($B72="","",IF($D72=CashLabel,"",SUMIFS($AE$5:$AE$204,$D$5:$D$204,$D72,$D$5:$D$204,"&lt;&gt;"&amp;CashLabel)/ConcDenomStr))</f>
        <v/>
      </c>
      <c r="AJ72" s="15">
        <f>IF($B72="","",IF($D72=CashLabel,1,MIN(IF($AF72&gt;ThrSingle,ThrSingle/$AF72,1),IF($AG72&gt;ThrIssuer,ThrIssuer/$AG72,1),IF($AH72&gt;IFERROR(VLOOKUP($F72,CountryThr,2,FALSE),DefThrCountry),IFERROR(VLOOKUP($F72,CountryThr,2,FALSE),DefThrCountry)/$AH72,1),IF($AI72&gt;IFERROR(VLOOKUP($D72,LVTable,3,FALSE),DefThrAsset),IFERROR(VLOOKUP($D72,LVTable,3,FALSE),DefThrAsset)/$AI72,1))))</f>
        <v/>
      </c>
      <c r="AK72" s="33">
        <f>IF($B72="","",$AE72*$AJ72)</f>
        <v/>
      </c>
    </row>
    <row r="73">
      <c r="A73" s="16">
        <f>IF($B73="","",ROW()-4)</f>
        <v/>
      </c>
      <c r="B73" s="20" t="n"/>
      <c r="C73" s="20" t="n"/>
      <c r="D73" s="20" t="n"/>
      <c r="E73" s="20" t="n"/>
      <c r="F73" s="20" t="n"/>
      <c r="G73" s="20" t="n"/>
      <c r="H73" s="30" t="n"/>
      <c r="I73" s="30" t="n"/>
      <c r="J73" s="30" t="n"/>
      <c r="K73" s="31">
        <f>IF($B73="","",IF(ISNUMBER($J73),$J73,$I73))</f>
        <v/>
      </c>
      <c r="L73" s="32">
        <f>IF($B73="","",IFERROR(VLOOKUP($G73,FXRates,4,FALSE),1))</f>
        <v/>
      </c>
      <c r="M73" s="33">
        <f>IF($B73="","",$H73*$K73*$L73)</f>
        <v/>
      </c>
      <c r="N73" s="21" t="n"/>
      <c r="O73" s="14">
        <f>IF($B73="","",IF($D73=CashLabel,IF(ISNUMBER($N73),$N73,1),MIN(IF(ISNUMBER($N73),$N73,IFERROR(VLOOKUP($D73,LVTable,2,FALSE),0)),LVCap)))</f>
        <v/>
      </c>
      <c r="P73" s="25">
        <f>IF($B73="","",$M73*$O73)</f>
        <v/>
      </c>
      <c r="Q73" s="16">
        <f>IF($B73="","",IFERROR(VLOOKUP($G73,FXRates,5,FALSE),$G73))</f>
        <v/>
      </c>
      <c r="R73" s="14">
        <f>IF($B73="","",IF($D73=CashLabel,"",SUMIFS($P$5:$P$204,$B$5:$B$204,$B73,$D$5:$D$204,"&lt;&gt;"&amp;CashLabel)/ConcDenom))</f>
        <v/>
      </c>
      <c r="S73" s="14">
        <f>IF($B73="","",IF($D73=CashLabel,"",SUMIFS($P$5:$P$204,$E$5:$E$204,$E73,$D$5:$D$204,"&lt;&gt;"&amp;CashLabel)/ConcDenom))</f>
        <v/>
      </c>
      <c r="T73" s="14">
        <f>IF($B73="","",IF($D73=CashLabel,"",SUMIFS($P$5:$P$204,$F$5:$F$204,$F73,$D$5:$D$204,"&lt;&gt;"&amp;CashLabel)/ConcDenom))</f>
        <v/>
      </c>
      <c r="U73" s="14">
        <f>IF($B73="","",IF($D73=CashLabel,"",SUMIFS($P$5:$P$204,$D$5:$D$204,$D73,$D$5:$D$204,"&lt;&gt;"&amp;CashLabel)/ConcDenom))</f>
        <v/>
      </c>
      <c r="V73" s="15">
        <f>IF($B73="","",IF($D73=CashLabel,1,IF($R73&gt;ThrSingle,ThrSingle/$R73,1)))</f>
        <v/>
      </c>
      <c r="W73" s="15">
        <f>IF($B73="","",IF($D73=CashLabel,1,IF($S73&gt;ThrIssuer,ThrIssuer/$S73,1)))</f>
        <v/>
      </c>
      <c r="X73" s="15">
        <f>IF($B73="","",IF($D73=CashLabel,1,IF($T73&gt;IFERROR(VLOOKUP($F73,CountryThr,2,FALSE),DefThrCountry),IFERROR(VLOOKUP($F73,CountryThr,2,FALSE),DefThrCountry)/$T73,1)))</f>
        <v/>
      </c>
      <c r="Y73" s="15">
        <f>IF($B73="","",IF($D73=CashLabel,1,IF($U73&gt;IFERROR(VLOOKUP($D73,LVTable,3,FALSE),DefThrAsset),IFERROR(VLOOKUP($D73,LVTable,3,FALSE),DefThrAsset)/$U73,1)))</f>
        <v/>
      </c>
      <c r="Z73" s="34">
        <f>IF($B73="","",IF($D73=CashLabel,1,MIN($V73:$Y73)))</f>
        <v/>
      </c>
      <c r="AA73" s="25">
        <f>IF($B73="","",$P73*$Z73)</f>
        <v/>
      </c>
      <c r="AB73" s="33">
        <f>IF($B73="","",$P73-$AA73)</f>
        <v/>
      </c>
      <c r="AC73" s="21" t="n"/>
      <c r="AD73" s="33">
        <f>IF($B73="","",$M73*(1+IF(ISNUMBER($AC73),$AC73,0)))</f>
        <v/>
      </c>
      <c r="AE73" s="33">
        <f>IF($B73="","",$AD73*$O73)</f>
        <v/>
      </c>
      <c r="AF73" s="14">
        <f>IF($B73="","",IF($D73=CashLabel,"",SUMIFS($AE$5:$AE$204,$B$5:$B$204,$B73,$D$5:$D$204,"&lt;&gt;"&amp;CashLabel)/ConcDenomStr))</f>
        <v/>
      </c>
      <c r="AG73" s="14">
        <f>IF($B73="","",IF($D73=CashLabel,"",SUMIFS($AE$5:$AE$204,$E$5:$E$204,$E73,$D$5:$D$204,"&lt;&gt;"&amp;CashLabel)/ConcDenomStr))</f>
        <v/>
      </c>
      <c r="AH73" s="14">
        <f>IF($B73="","",IF($D73=CashLabel,"",SUMIFS($AE$5:$AE$204,$F$5:$F$204,$F73,$D$5:$D$204,"&lt;&gt;"&amp;CashLabel)/ConcDenomStr))</f>
        <v/>
      </c>
      <c r="AI73" s="14">
        <f>IF($B73="","",IF($D73=CashLabel,"",SUMIFS($AE$5:$AE$204,$D$5:$D$204,$D73,$D$5:$D$204,"&lt;&gt;"&amp;CashLabel)/ConcDenomStr))</f>
        <v/>
      </c>
      <c r="AJ73" s="15">
        <f>IF($B73="","",IF($D73=CashLabel,1,MIN(IF($AF73&gt;ThrSingle,ThrSingle/$AF73,1),IF($AG73&gt;ThrIssuer,ThrIssuer/$AG73,1),IF($AH73&gt;IFERROR(VLOOKUP($F73,CountryThr,2,FALSE),DefThrCountry),IFERROR(VLOOKUP($F73,CountryThr,2,FALSE),DefThrCountry)/$AH73,1),IF($AI73&gt;IFERROR(VLOOKUP($D73,LVTable,3,FALSE),DefThrAsset),IFERROR(VLOOKUP($D73,LVTable,3,FALSE),DefThrAsset)/$AI73,1))))</f>
        <v/>
      </c>
      <c r="AK73" s="33">
        <f>IF($B73="","",$AE73*$AJ73)</f>
        <v/>
      </c>
    </row>
    <row r="74">
      <c r="A74" s="16">
        <f>IF($B74="","",ROW()-4)</f>
        <v/>
      </c>
      <c r="B74" s="20" t="n"/>
      <c r="C74" s="20" t="n"/>
      <c r="D74" s="20" t="n"/>
      <c r="E74" s="20" t="n"/>
      <c r="F74" s="20" t="n"/>
      <c r="G74" s="20" t="n"/>
      <c r="H74" s="30" t="n"/>
      <c r="I74" s="30" t="n"/>
      <c r="J74" s="30" t="n"/>
      <c r="K74" s="31">
        <f>IF($B74="","",IF(ISNUMBER($J74),$J74,$I74))</f>
        <v/>
      </c>
      <c r="L74" s="32">
        <f>IF($B74="","",IFERROR(VLOOKUP($G74,FXRates,4,FALSE),1))</f>
        <v/>
      </c>
      <c r="M74" s="33">
        <f>IF($B74="","",$H74*$K74*$L74)</f>
        <v/>
      </c>
      <c r="N74" s="21" t="n"/>
      <c r="O74" s="14">
        <f>IF($B74="","",IF($D74=CashLabel,IF(ISNUMBER($N74),$N74,1),MIN(IF(ISNUMBER($N74),$N74,IFERROR(VLOOKUP($D74,LVTable,2,FALSE),0)),LVCap)))</f>
        <v/>
      </c>
      <c r="P74" s="25">
        <f>IF($B74="","",$M74*$O74)</f>
        <v/>
      </c>
      <c r="Q74" s="16">
        <f>IF($B74="","",IFERROR(VLOOKUP($G74,FXRates,5,FALSE),$G74))</f>
        <v/>
      </c>
      <c r="R74" s="14">
        <f>IF($B74="","",IF($D74=CashLabel,"",SUMIFS($P$5:$P$204,$B$5:$B$204,$B74,$D$5:$D$204,"&lt;&gt;"&amp;CashLabel)/ConcDenom))</f>
        <v/>
      </c>
      <c r="S74" s="14">
        <f>IF($B74="","",IF($D74=CashLabel,"",SUMIFS($P$5:$P$204,$E$5:$E$204,$E74,$D$5:$D$204,"&lt;&gt;"&amp;CashLabel)/ConcDenom))</f>
        <v/>
      </c>
      <c r="T74" s="14">
        <f>IF($B74="","",IF($D74=CashLabel,"",SUMIFS($P$5:$P$204,$F$5:$F$204,$F74,$D$5:$D$204,"&lt;&gt;"&amp;CashLabel)/ConcDenom))</f>
        <v/>
      </c>
      <c r="U74" s="14">
        <f>IF($B74="","",IF($D74=CashLabel,"",SUMIFS($P$5:$P$204,$D$5:$D$204,$D74,$D$5:$D$204,"&lt;&gt;"&amp;CashLabel)/ConcDenom))</f>
        <v/>
      </c>
      <c r="V74" s="15">
        <f>IF($B74="","",IF($D74=CashLabel,1,IF($R74&gt;ThrSingle,ThrSingle/$R74,1)))</f>
        <v/>
      </c>
      <c r="W74" s="15">
        <f>IF($B74="","",IF($D74=CashLabel,1,IF($S74&gt;ThrIssuer,ThrIssuer/$S74,1)))</f>
        <v/>
      </c>
      <c r="X74" s="15">
        <f>IF($B74="","",IF($D74=CashLabel,1,IF($T74&gt;IFERROR(VLOOKUP($F74,CountryThr,2,FALSE),DefThrCountry),IFERROR(VLOOKUP($F74,CountryThr,2,FALSE),DefThrCountry)/$T74,1)))</f>
        <v/>
      </c>
      <c r="Y74" s="15">
        <f>IF($B74="","",IF($D74=CashLabel,1,IF($U74&gt;IFERROR(VLOOKUP($D74,LVTable,3,FALSE),DefThrAsset),IFERROR(VLOOKUP($D74,LVTable,3,FALSE),DefThrAsset)/$U74,1)))</f>
        <v/>
      </c>
      <c r="Z74" s="34">
        <f>IF($B74="","",IF($D74=CashLabel,1,MIN($V74:$Y74)))</f>
        <v/>
      </c>
      <c r="AA74" s="25">
        <f>IF($B74="","",$P74*$Z74)</f>
        <v/>
      </c>
      <c r="AB74" s="33">
        <f>IF($B74="","",$P74-$AA74)</f>
        <v/>
      </c>
      <c r="AC74" s="21" t="n"/>
      <c r="AD74" s="33">
        <f>IF($B74="","",$M74*(1+IF(ISNUMBER($AC74),$AC74,0)))</f>
        <v/>
      </c>
      <c r="AE74" s="33">
        <f>IF($B74="","",$AD74*$O74)</f>
        <v/>
      </c>
      <c r="AF74" s="14">
        <f>IF($B74="","",IF($D74=CashLabel,"",SUMIFS($AE$5:$AE$204,$B$5:$B$204,$B74,$D$5:$D$204,"&lt;&gt;"&amp;CashLabel)/ConcDenomStr))</f>
        <v/>
      </c>
      <c r="AG74" s="14">
        <f>IF($B74="","",IF($D74=CashLabel,"",SUMIFS($AE$5:$AE$204,$E$5:$E$204,$E74,$D$5:$D$204,"&lt;&gt;"&amp;CashLabel)/ConcDenomStr))</f>
        <v/>
      </c>
      <c r="AH74" s="14">
        <f>IF($B74="","",IF($D74=CashLabel,"",SUMIFS($AE$5:$AE$204,$F$5:$F$204,$F74,$D$5:$D$204,"&lt;&gt;"&amp;CashLabel)/ConcDenomStr))</f>
        <v/>
      </c>
      <c r="AI74" s="14">
        <f>IF($B74="","",IF($D74=CashLabel,"",SUMIFS($AE$5:$AE$204,$D$5:$D$204,$D74,$D$5:$D$204,"&lt;&gt;"&amp;CashLabel)/ConcDenomStr))</f>
        <v/>
      </c>
      <c r="AJ74" s="15">
        <f>IF($B74="","",IF($D74=CashLabel,1,MIN(IF($AF74&gt;ThrSingle,ThrSingle/$AF74,1),IF($AG74&gt;ThrIssuer,ThrIssuer/$AG74,1),IF($AH74&gt;IFERROR(VLOOKUP($F74,CountryThr,2,FALSE),DefThrCountry),IFERROR(VLOOKUP($F74,CountryThr,2,FALSE),DefThrCountry)/$AH74,1),IF($AI74&gt;IFERROR(VLOOKUP($D74,LVTable,3,FALSE),DefThrAsset),IFERROR(VLOOKUP($D74,LVTable,3,FALSE),DefThrAsset)/$AI74,1))))</f>
        <v/>
      </c>
      <c r="AK74" s="33">
        <f>IF($B74="","",$AE74*$AJ74)</f>
        <v/>
      </c>
    </row>
    <row r="75">
      <c r="A75" s="16">
        <f>IF($B75="","",ROW()-4)</f>
        <v/>
      </c>
      <c r="B75" s="20" t="n"/>
      <c r="C75" s="20" t="n"/>
      <c r="D75" s="20" t="n"/>
      <c r="E75" s="20" t="n"/>
      <c r="F75" s="20" t="n"/>
      <c r="G75" s="20" t="n"/>
      <c r="H75" s="30" t="n"/>
      <c r="I75" s="30" t="n"/>
      <c r="J75" s="30" t="n"/>
      <c r="K75" s="31">
        <f>IF($B75="","",IF(ISNUMBER($J75),$J75,$I75))</f>
        <v/>
      </c>
      <c r="L75" s="32">
        <f>IF($B75="","",IFERROR(VLOOKUP($G75,FXRates,4,FALSE),1))</f>
        <v/>
      </c>
      <c r="M75" s="33">
        <f>IF($B75="","",$H75*$K75*$L75)</f>
        <v/>
      </c>
      <c r="N75" s="21" t="n"/>
      <c r="O75" s="14">
        <f>IF($B75="","",IF($D75=CashLabel,IF(ISNUMBER($N75),$N75,1),MIN(IF(ISNUMBER($N75),$N75,IFERROR(VLOOKUP($D75,LVTable,2,FALSE),0)),LVCap)))</f>
        <v/>
      </c>
      <c r="P75" s="25">
        <f>IF($B75="","",$M75*$O75)</f>
        <v/>
      </c>
      <c r="Q75" s="16">
        <f>IF($B75="","",IFERROR(VLOOKUP($G75,FXRates,5,FALSE),$G75))</f>
        <v/>
      </c>
      <c r="R75" s="14">
        <f>IF($B75="","",IF($D75=CashLabel,"",SUMIFS($P$5:$P$204,$B$5:$B$204,$B75,$D$5:$D$204,"&lt;&gt;"&amp;CashLabel)/ConcDenom))</f>
        <v/>
      </c>
      <c r="S75" s="14">
        <f>IF($B75="","",IF($D75=CashLabel,"",SUMIFS($P$5:$P$204,$E$5:$E$204,$E75,$D$5:$D$204,"&lt;&gt;"&amp;CashLabel)/ConcDenom))</f>
        <v/>
      </c>
      <c r="T75" s="14">
        <f>IF($B75="","",IF($D75=CashLabel,"",SUMIFS($P$5:$P$204,$F$5:$F$204,$F75,$D$5:$D$204,"&lt;&gt;"&amp;CashLabel)/ConcDenom))</f>
        <v/>
      </c>
      <c r="U75" s="14">
        <f>IF($B75="","",IF($D75=CashLabel,"",SUMIFS($P$5:$P$204,$D$5:$D$204,$D75,$D$5:$D$204,"&lt;&gt;"&amp;CashLabel)/ConcDenom))</f>
        <v/>
      </c>
      <c r="V75" s="15">
        <f>IF($B75="","",IF($D75=CashLabel,1,IF($R75&gt;ThrSingle,ThrSingle/$R75,1)))</f>
        <v/>
      </c>
      <c r="W75" s="15">
        <f>IF($B75="","",IF($D75=CashLabel,1,IF($S75&gt;ThrIssuer,ThrIssuer/$S75,1)))</f>
        <v/>
      </c>
      <c r="X75" s="15">
        <f>IF($B75="","",IF($D75=CashLabel,1,IF($T75&gt;IFERROR(VLOOKUP($F75,CountryThr,2,FALSE),DefThrCountry),IFERROR(VLOOKUP($F75,CountryThr,2,FALSE),DefThrCountry)/$T75,1)))</f>
        <v/>
      </c>
      <c r="Y75" s="15">
        <f>IF($B75="","",IF($D75=CashLabel,1,IF($U75&gt;IFERROR(VLOOKUP($D75,LVTable,3,FALSE),DefThrAsset),IFERROR(VLOOKUP($D75,LVTable,3,FALSE),DefThrAsset)/$U75,1)))</f>
        <v/>
      </c>
      <c r="Z75" s="34">
        <f>IF($B75="","",IF($D75=CashLabel,1,MIN($V75:$Y75)))</f>
        <v/>
      </c>
      <c r="AA75" s="25">
        <f>IF($B75="","",$P75*$Z75)</f>
        <v/>
      </c>
      <c r="AB75" s="33">
        <f>IF($B75="","",$P75-$AA75)</f>
        <v/>
      </c>
      <c r="AC75" s="21" t="n"/>
      <c r="AD75" s="33">
        <f>IF($B75="","",$M75*(1+IF(ISNUMBER($AC75),$AC75,0)))</f>
        <v/>
      </c>
      <c r="AE75" s="33">
        <f>IF($B75="","",$AD75*$O75)</f>
        <v/>
      </c>
      <c r="AF75" s="14">
        <f>IF($B75="","",IF($D75=CashLabel,"",SUMIFS($AE$5:$AE$204,$B$5:$B$204,$B75,$D$5:$D$204,"&lt;&gt;"&amp;CashLabel)/ConcDenomStr))</f>
        <v/>
      </c>
      <c r="AG75" s="14">
        <f>IF($B75="","",IF($D75=CashLabel,"",SUMIFS($AE$5:$AE$204,$E$5:$E$204,$E75,$D$5:$D$204,"&lt;&gt;"&amp;CashLabel)/ConcDenomStr))</f>
        <v/>
      </c>
      <c r="AH75" s="14">
        <f>IF($B75="","",IF($D75=CashLabel,"",SUMIFS($AE$5:$AE$204,$F$5:$F$204,$F75,$D$5:$D$204,"&lt;&gt;"&amp;CashLabel)/ConcDenomStr))</f>
        <v/>
      </c>
      <c r="AI75" s="14">
        <f>IF($B75="","",IF($D75=CashLabel,"",SUMIFS($AE$5:$AE$204,$D$5:$D$204,$D75,$D$5:$D$204,"&lt;&gt;"&amp;CashLabel)/ConcDenomStr))</f>
        <v/>
      </c>
      <c r="AJ75" s="15">
        <f>IF($B75="","",IF($D75=CashLabel,1,MIN(IF($AF75&gt;ThrSingle,ThrSingle/$AF75,1),IF($AG75&gt;ThrIssuer,ThrIssuer/$AG75,1),IF($AH75&gt;IFERROR(VLOOKUP($F75,CountryThr,2,FALSE),DefThrCountry),IFERROR(VLOOKUP($F75,CountryThr,2,FALSE),DefThrCountry)/$AH75,1),IF($AI75&gt;IFERROR(VLOOKUP($D75,LVTable,3,FALSE),DefThrAsset),IFERROR(VLOOKUP($D75,LVTable,3,FALSE),DefThrAsset)/$AI75,1))))</f>
        <v/>
      </c>
      <c r="AK75" s="33">
        <f>IF($B75="","",$AE75*$AJ75)</f>
        <v/>
      </c>
    </row>
    <row r="76">
      <c r="A76" s="16">
        <f>IF($B76="","",ROW()-4)</f>
        <v/>
      </c>
      <c r="B76" s="20" t="n"/>
      <c r="C76" s="20" t="n"/>
      <c r="D76" s="20" t="n"/>
      <c r="E76" s="20" t="n"/>
      <c r="F76" s="20" t="n"/>
      <c r="G76" s="20" t="n"/>
      <c r="H76" s="30" t="n"/>
      <c r="I76" s="30" t="n"/>
      <c r="J76" s="30" t="n"/>
      <c r="K76" s="31">
        <f>IF($B76="","",IF(ISNUMBER($J76),$J76,$I76))</f>
        <v/>
      </c>
      <c r="L76" s="32">
        <f>IF($B76="","",IFERROR(VLOOKUP($G76,FXRates,4,FALSE),1))</f>
        <v/>
      </c>
      <c r="M76" s="33">
        <f>IF($B76="","",$H76*$K76*$L76)</f>
        <v/>
      </c>
      <c r="N76" s="21" t="n"/>
      <c r="O76" s="14">
        <f>IF($B76="","",IF($D76=CashLabel,IF(ISNUMBER($N76),$N76,1),MIN(IF(ISNUMBER($N76),$N76,IFERROR(VLOOKUP($D76,LVTable,2,FALSE),0)),LVCap)))</f>
        <v/>
      </c>
      <c r="P76" s="25">
        <f>IF($B76="","",$M76*$O76)</f>
        <v/>
      </c>
      <c r="Q76" s="16">
        <f>IF($B76="","",IFERROR(VLOOKUP($G76,FXRates,5,FALSE),$G76))</f>
        <v/>
      </c>
      <c r="R76" s="14">
        <f>IF($B76="","",IF($D76=CashLabel,"",SUMIFS($P$5:$P$204,$B$5:$B$204,$B76,$D$5:$D$204,"&lt;&gt;"&amp;CashLabel)/ConcDenom))</f>
        <v/>
      </c>
      <c r="S76" s="14">
        <f>IF($B76="","",IF($D76=CashLabel,"",SUMIFS($P$5:$P$204,$E$5:$E$204,$E76,$D$5:$D$204,"&lt;&gt;"&amp;CashLabel)/ConcDenom))</f>
        <v/>
      </c>
      <c r="T76" s="14">
        <f>IF($B76="","",IF($D76=CashLabel,"",SUMIFS($P$5:$P$204,$F$5:$F$204,$F76,$D$5:$D$204,"&lt;&gt;"&amp;CashLabel)/ConcDenom))</f>
        <v/>
      </c>
      <c r="U76" s="14">
        <f>IF($B76="","",IF($D76=CashLabel,"",SUMIFS($P$5:$P$204,$D$5:$D$204,$D76,$D$5:$D$204,"&lt;&gt;"&amp;CashLabel)/ConcDenom))</f>
        <v/>
      </c>
      <c r="V76" s="15">
        <f>IF($B76="","",IF($D76=CashLabel,1,IF($R76&gt;ThrSingle,ThrSingle/$R76,1)))</f>
        <v/>
      </c>
      <c r="W76" s="15">
        <f>IF($B76="","",IF($D76=CashLabel,1,IF($S76&gt;ThrIssuer,ThrIssuer/$S76,1)))</f>
        <v/>
      </c>
      <c r="X76" s="15">
        <f>IF($B76="","",IF($D76=CashLabel,1,IF($T76&gt;IFERROR(VLOOKUP($F76,CountryThr,2,FALSE),DefThrCountry),IFERROR(VLOOKUP($F76,CountryThr,2,FALSE),DefThrCountry)/$T76,1)))</f>
        <v/>
      </c>
      <c r="Y76" s="15">
        <f>IF($B76="","",IF($D76=CashLabel,1,IF($U76&gt;IFERROR(VLOOKUP($D76,LVTable,3,FALSE),DefThrAsset),IFERROR(VLOOKUP($D76,LVTable,3,FALSE),DefThrAsset)/$U76,1)))</f>
        <v/>
      </c>
      <c r="Z76" s="34">
        <f>IF($B76="","",IF($D76=CashLabel,1,MIN($V76:$Y76)))</f>
        <v/>
      </c>
      <c r="AA76" s="25">
        <f>IF($B76="","",$P76*$Z76)</f>
        <v/>
      </c>
      <c r="AB76" s="33">
        <f>IF($B76="","",$P76-$AA76)</f>
        <v/>
      </c>
      <c r="AC76" s="21" t="n"/>
      <c r="AD76" s="33">
        <f>IF($B76="","",$M76*(1+IF(ISNUMBER($AC76),$AC76,0)))</f>
        <v/>
      </c>
      <c r="AE76" s="33">
        <f>IF($B76="","",$AD76*$O76)</f>
        <v/>
      </c>
      <c r="AF76" s="14">
        <f>IF($B76="","",IF($D76=CashLabel,"",SUMIFS($AE$5:$AE$204,$B$5:$B$204,$B76,$D$5:$D$204,"&lt;&gt;"&amp;CashLabel)/ConcDenomStr))</f>
        <v/>
      </c>
      <c r="AG76" s="14">
        <f>IF($B76="","",IF($D76=CashLabel,"",SUMIFS($AE$5:$AE$204,$E$5:$E$204,$E76,$D$5:$D$204,"&lt;&gt;"&amp;CashLabel)/ConcDenomStr))</f>
        <v/>
      </c>
      <c r="AH76" s="14">
        <f>IF($B76="","",IF($D76=CashLabel,"",SUMIFS($AE$5:$AE$204,$F$5:$F$204,$F76,$D$5:$D$204,"&lt;&gt;"&amp;CashLabel)/ConcDenomStr))</f>
        <v/>
      </c>
      <c r="AI76" s="14">
        <f>IF($B76="","",IF($D76=CashLabel,"",SUMIFS($AE$5:$AE$204,$D$5:$D$204,$D76,$D$5:$D$204,"&lt;&gt;"&amp;CashLabel)/ConcDenomStr))</f>
        <v/>
      </c>
      <c r="AJ76" s="15">
        <f>IF($B76="","",IF($D76=CashLabel,1,MIN(IF($AF76&gt;ThrSingle,ThrSingle/$AF76,1),IF($AG76&gt;ThrIssuer,ThrIssuer/$AG76,1),IF($AH76&gt;IFERROR(VLOOKUP($F76,CountryThr,2,FALSE),DefThrCountry),IFERROR(VLOOKUP($F76,CountryThr,2,FALSE),DefThrCountry)/$AH76,1),IF($AI76&gt;IFERROR(VLOOKUP($D76,LVTable,3,FALSE),DefThrAsset),IFERROR(VLOOKUP($D76,LVTable,3,FALSE),DefThrAsset)/$AI76,1))))</f>
        <v/>
      </c>
      <c r="AK76" s="33">
        <f>IF($B76="","",$AE76*$AJ76)</f>
        <v/>
      </c>
    </row>
    <row r="77">
      <c r="A77" s="16">
        <f>IF($B77="","",ROW()-4)</f>
        <v/>
      </c>
      <c r="B77" s="20" t="n"/>
      <c r="C77" s="20" t="n"/>
      <c r="D77" s="20" t="n"/>
      <c r="E77" s="20" t="n"/>
      <c r="F77" s="20" t="n"/>
      <c r="G77" s="20" t="n"/>
      <c r="H77" s="30" t="n"/>
      <c r="I77" s="30" t="n"/>
      <c r="J77" s="30" t="n"/>
      <c r="K77" s="31">
        <f>IF($B77="","",IF(ISNUMBER($J77),$J77,$I77))</f>
        <v/>
      </c>
      <c r="L77" s="32">
        <f>IF($B77="","",IFERROR(VLOOKUP($G77,FXRates,4,FALSE),1))</f>
        <v/>
      </c>
      <c r="M77" s="33">
        <f>IF($B77="","",$H77*$K77*$L77)</f>
        <v/>
      </c>
      <c r="N77" s="21" t="n"/>
      <c r="O77" s="14">
        <f>IF($B77="","",IF($D77=CashLabel,IF(ISNUMBER($N77),$N77,1),MIN(IF(ISNUMBER($N77),$N77,IFERROR(VLOOKUP($D77,LVTable,2,FALSE),0)),LVCap)))</f>
        <v/>
      </c>
      <c r="P77" s="25">
        <f>IF($B77="","",$M77*$O77)</f>
        <v/>
      </c>
      <c r="Q77" s="16">
        <f>IF($B77="","",IFERROR(VLOOKUP($G77,FXRates,5,FALSE),$G77))</f>
        <v/>
      </c>
      <c r="R77" s="14">
        <f>IF($B77="","",IF($D77=CashLabel,"",SUMIFS($P$5:$P$204,$B$5:$B$204,$B77,$D$5:$D$204,"&lt;&gt;"&amp;CashLabel)/ConcDenom))</f>
        <v/>
      </c>
      <c r="S77" s="14">
        <f>IF($B77="","",IF($D77=CashLabel,"",SUMIFS($P$5:$P$204,$E$5:$E$204,$E77,$D$5:$D$204,"&lt;&gt;"&amp;CashLabel)/ConcDenom))</f>
        <v/>
      </c>
      <c r="T77" s="14">
        <f>IF($B77="","",IF($D77=CashLabel,"",SUMIFS($P$5:$P$204,$F$5:$F$204,$F77,$D$5:$D$204,"&lt;&gt;"&amp;CashLabel)/ConcDenom))</f>
        <v/>
      </c>
      <c r="U77" s="14">
        <f>IF($B77="","",IF($D77=CashLabel,"",SUMIFS($P$5:$P$204,$D$5:$D$204,$D77,$D$5:$D$204,"&lt;&gt;"&amp;CashLabel)/ConcDenom))</f>
        <v/>
      </c>
      <c r="V77" s="15">
        <f>IF($B77="","",IF($D77=CashLabel,1,IF($R77&gt;ThrSingle,ThrSingle/$R77,1)))</f>
        <v/>
      </c>
      <c r="W77" s="15">
        <f>IF($B77="","",IF($D77=CashLabel,1,IF($S77&gt;ThrIssuer,ThrIssuer/$S77,1)))</f>
        <v/>
      </c>
      <c r="X77" s="15">
        <f>IF($B77="","",IF($D77=CashLabel,1,IF($T77&gt;IFERROR(VLOOKUP($F77,CountryThr,2,FALSE),DefThrCountry),IFERROR(VLOOKUP($F77,CountryThr,2,FALSE),DefThrCountry)/$T77,1)))</f>
        <v/>
      </c>
      <c r="Y77" s="15">
        <f>IF($B77="","",IF($D77=CashLabel,1,IF($U77&gt;IFERROR(VLOOKUP($D77,LVTable,3,FALSE),DefThrAsset),IFERROR(VLOOKUP($D77,LVTable,3,FALSE),DefThrAsset)/$U77,1)))</f>
        <v/>
      </c>
      <c r="Z77" s="34">
        <f>IF($B77="","",IF($D77=CashLabel,1,MIN($V77:$Y77)))</f>
        <v/>
      </c>
      <c r="AA77" s="25">
        <f>IF($B77="","",$P77*$Z77)</f>
        <v/>
      </c>
      <c r="AB77" s="33">
        <f>IF($B77="","",$P77-$AA77)</f>
        <v/>
      </c>
      <c r="AC77" s="21" t="n"/>
      <c r="AD77" s="33">
        <f>IF($B77="","",$M77*(1+IF(ISNUMBER($AC77),$AC77,0)))</f>
        <v/>
      </c>
      <c r="AE77" s="33">
        <f>IF($B77="","",$AD77*$O77)</f>
        <v/>
      </c>
      <c r="AF77" s="14">
        <f>IF($B77="","",IF($D77=CashLabel,"",SUMIFS($AE$5:$AE$204,$B$5:$B$204,$B77,$D$5:$D$204,"&lt;&gt;"&amp;CashLabel)/ConcDenomStr))</f>
        <v/>
      </c>
      <c r="AG77" s="14">
        <f>IF($B77="","",IF($D77=CashLabel,"",SUMIFS($AE$5:$AE$204,$E$5:$E$204,$E77,$D$5:$D$204,"&lt;&gt;"&amp;CashLabel)/ConcDenomStr))</f>
        <v/>
      </c>
      <c r="AH77" s="14">
        <f>IF($B77="","",IF($D77=CashLabel,"",SUMIFS($AE$5:$AE$204,$F$5:$F$204,$F77,$D$5:$D$204,"&lt;&gt;"&amp;CashLabel)/ConcDenomStr))</f>
        <v/>
      </c>
      <c r="AI77" s="14">
        <f>IF($B77="","",IF($D77=CashLabel,"",SUMIFS($AE$5:$AE$204,$D$5:$D$204,$D77,$D$5:$D$204,"&lt;&gt;"&amp;CashLabel)/ConcDenomStr))</f>
        <v/>
      </c>
      <c r="AJ77" s="15">
        <f>IF($B77="","",IF($D77=CashLabel,1,MIN(IF($AF77&gt;ThrSingle,ThrSingle/$AF77,1),IF($AG77&gt;ThrIssuer,ThrIssuer/$AG77,1),IF($AH77&gt;IFERROR(VLOOKUP($F77,CountryThr,2,FALSE),DefThrCountry),IFERROR(VLOOKUP($F77,CountryThr,2,FALSE),DefThrCountry)/$AH77,1),IF($AI77&gt;IFERROR(VLOOKUP($D77,LVTable,3,FALSE),DefThrAsset),IFERROR(VLOOKUP($D77,LVTable,3,FALSE),DefThrAsset)/$AI77,1))))</f>
        <v/>
      </c>
      <c r="AK77" s="33">
        <f>IF($B77="","",$AE77*$AJ77)</f>
        <v/>
      </c>
    </row>
    <row r="78">
      <c r="A78" s="16">
        <f>IF($B78="","",ROW()-4)</f>
        <v/>
      </c>
      <c r="B78" s="20" t="n"/>
      <c r="C78" s="20" t="n"/>
      <c r="D78" s="20" t="n"/>
      <c r="E78" s="20" t="n"/>
      <c r="F78" s="20" t="n"/>
      <c r="G78" s="20" t="n"/>
      <c r="H78" s="30" t="n"/>
      <c r="I78" s="30" t="n"/>
      <c r="J78" s="30" t="n"/>
      <c r="K78" s="31">
        <f>IF($B78="","",IF(ISNUMBER($J78),$J78,$I78))</f>
        <v/>
      </c>
      <c r="L78" s="32">
        <f>IF($B78="","",IFERROR(VLOOKUP($G78,FXRates,4,FALSE),1))</f>
        <v/>
      </c>
      <c r="M78" s="33">
        <f>IF($B78="","",$H78*$K78*$L78)</f>
        <v/>
      </c>
      <c r="N78" s="21" t="n"/>
      <c r="O78" s="14">
        <f>IF($B78="","",IF($D78=CashLabel,IF(ISNUMBER($N78),$N78,1),MIN(IF(ISNUMBER($N78),$N78,IFERROR(VLOOKUP($D78,LVTable,2,FALSE),0)),LVCap)))</f>
        <v/>
      </c>
      <c r="P78" s="25">
        <f>IF($B78="","",$M78*$O78)</f>
        <v/>
      </c>
      <c r="Q78" s="16">
        <f>IF($B78="","",IFERROR(VLOOKUP($G78,FXRates,5,FALSE),$G78))</f>
        <v/>
      </c>
      <c r="R78" s="14">
        <f>IF($B78="","",IF($D78=CashLabel,"",SUMIFS($P$5:$P$204,$B$5:$B$204,$B78,$D$5:$D$204,"&lt;&gt;"&amp;CashLabel)/ConcDenom))</f>
        <v/>
      </c>
      <c r="S78" s="14">
        <f>IF($B78="","",IF($D78=CashLabel,"",SUMIFS($P$5:$P$204,$E$5:$E$204,$E78,$D$5:$D$204,"&lt;&gt;"&amp;CashLabel)/ConcDenom))</f>
        <v/>
      </c>
      <c r="T78" s="14">
        <f>IF($B78="","",IF($D78=CashLabel,"",SUMIFS($P$5:$P$204,$F$5:$F$204,$F78,$D$5:$D$204,"&lt;&gt;"&amp;CashLabel)/ConcDenom))</f>
        <v/>
      </c>
      <c r="U78" s="14">
        <f>IF($B78="","",IF($D78=CashLabel,"",SUMIFS($P$5:$P$204,$D$5:$D$204,$D78,$D$5:$D$204,"&lt;&gt;"&amp;CashLabel)/ConcDenom))</f>
        <v/>
      </c>
      <c r="V78" s="15">
        <f>IF($B78="","",IF($D78=CashLabel,1,IF($R78&gt;ThrSingle,ThrSingle/$R78,1)))</f>
        <v/>
      </c>
      <c r="W78" s="15">
        <f>IF($B78="","",IF($D78=CashLabel,1,IF($S78&gt;ThrIssuer,ThrIssuer/$S78,1)))</f>
        <v/>
      </c>
      <c r="X78" s="15">
        <f>IF($B78="","",IF($D78=CashLabel,1,IF($T78&gt;IFERROR(VLOOKUP($F78,CountryThr,2,FALSE),DefThrCountry),IFERROR(VLOOKUP($F78,CountryThr,2,FALSE),DefThrCountry)/$T78,1)))</f>
        <v/>
      </c>
      <c r="Y78" s="15">
        <f>IF($B78="","",IF($D78=CashLabel,1,IF($U78&gt;IFERROR(VLOOKUP($D78,LVTable,3,FALSE),DefThrAsset),IFERROR(VLOOKUP($D78,LVTable,3,FALSE),DefThrAsset)/$U78,1)))</f>
        <v/>
      </c>
      <c r="Z78" s="34">
        <f>IF($B78="","",IF($D78=CashLabel,1,MIN($V78:$Y78)))</f>
        <v/>
      </c>
      <c r="AA78" s="25">
        <f>IF($B78="","",$P78*$Z78)</f>
        <v/>
      </c>
      <c r="AB78" s="33">
        <f>IF($B78="","",$P78-$AA78)</f>
        <v/>
      </c>
      <c r="AC78" s="21" t="n"/>
      <c r="AD78" s="33">
        <f>IF($B78="","",$M78*(1+IF(ISNUMBER($AC78),$AC78,0)))</f>
        <v/>
      </c>
      <c r="AE78" s="33">
        <f>IF($B78="","",$AD78*$O78)</f>
        <v/>
      </c>
      <c r="AF78" s="14">
        <f>IF($B78="","",IF($D78=CashLabel,"",SUMIFS($AE$5:$AE$204,$B$5:$B$204,$B78,$D$5:$D$204,"&lt;&gt;"&amp;CashLabel)/ConcDenomStr))</f>
        <v/>
      </c>
      <c r="AG78" s="14">
        <f>IF($B78="","",IF($D78=CashLabel,"",SUMIFS($AE$5:$AE$204,$E$5:$E$204,$E78,$D$5:$D$204,"&lt;&gt;"&amp;CashLabel)/ConcDenomStr))</f>
        <v/>
      </c>
      <c r="AH78" s="14">
        <f>IF($B78="","",IF($D78=CashLabel,"",SUMIFS($AE$5:$AE$204,$F$5:$F$204,$F78,$D$5:$D$204,"&lt;&gt;"&amp;CashLabel)/ConcDenomStr))</f>
        <v/>
      </c>
      <c r="AI78" s="14">
        <f>IF($B78="","",IF($D78=CashLabel,"",SUMIFS($AE$5:$AE$204,$D$5:$D$204,$D78,$D$5:$D$204,"&lt;&gt;"&amp;CashLabel)/ConcDenomStr))</f>
        <v/>
      </c>
      <c r="AJ78" s="15">
        <f>IF($B78="","",IF($D78=CashLabel,1,MIN(IF($AF78&gt;ThrSingle,ThrSingle/$AF78,1),IF($AG78&gt;ThrIssuer,ThrIssuer/$AG78,1),IF($AH78&gt;IFERROR(VLOOKUP($F78,CountryThr,2,FALSE),DefThrCountry),IFERROR(VLOOKUP($F78,CountryThr,2,FALSE),DefThrCountry)/$AH78,1),IF($AI78&gt;IFERROR(VLOOKUP($D78,LVTable,3,FALSE),DefThrAsset),IFERROR(VLOOKUP($D78,LVTable,3,FALSE),DefThrAsset)/$AI78,1))))</f>
        <v/>
      </c>
      <c r="AK78" s="33">
        <f>IF($B78="","",$AE78*$AJ78)</f>
        <v/>
      </c>
    </row>
    <row r="79">
      <c r="A79" s="16">
        <f>IF($B79="","",ROW()-4)</f>
        <v/>
      </c>
      <c r="B79" s="20" t="n"/>
      <c r="C79" s="20" t="n"/>
      <c r="D79" s="20" t="n"/>
      <c r="E79" s="20" t="n"/>
      <c r="F79" s="20" t="n"/>
      <c r="G79" s="20" t="n"/>
      <c r="H79" s="30" t="n"/>
      <c r="I79" s="30" t="n"/>
      <c r="J79" s="30" t="n"/>
      <c r="K79" s="31">
        <f>IF($B79="","",IF(ISNUMBER($J79),$J79,$I79))</f>
        <v/>
      </c>
      <c r="L79" s="32">
        <f>IF($B79="","",IFERROR(VLOOKUP($G79,FXRates,4,FALSE),1))</f>
        <v/>
      </c>
      <c r="M79" s="33">
        <f>IF($B79="","",$H79*$K79*$L79)</f>
        <v/>
      </c>
      <c r="N79" s="21" t="n"/>
      <c r="O79" s="14">
        <f>IF($B79="","",IF($D79=CashLabel,IF(ISNUMBER($N79),$N79,1),MIN(IF(ISNUMBER($N79),$N79,IFERROR(VLOOKUP($D79,LVTable,2,FALSE),0)),LVCap)))</f>
        <v/>
      </c>
      <c r="P79" s="25">
        <f>IF($B79="","",$M79*$O79)</f>
        <v/>
      </c>
      <c r="Q79" s="16">
        <f>IF($B79="","",IFERROR(VLOOKUP($G79,FXRates,5,FALSE),$G79))</f>
        <v/>
      </c>
      <c r="R79" s="14">
        <f>IF($B79="","",IF($D79=CashLabel,"",SUMIFS($P$5:$P$204,$B$5:$B$204,$B79,$D$5:$D$204,"&lt;&gt;"&amp;CashLabel)/ConcDenom))</f>
        <v/>
      </c>
      <c r="S79" s="14">
        <f>IF($B79="","",IF($D79=CashLabel,"",SUMIFS($P$5:$P$204,$E$5:$E$204,$E79,$D$5:$D$204,"&lt;&gt;"&amp;CashLabel)/ConcDenom))</f>
        <v/>
      </c>
      <c r="T79" s="14">
        <f>IF($B79="","",IF($D79=CashLabel,"",SUMIFS($P$5:$P$204,$F$5:$F$204,$F79,$D$5:$D$204,"&lt;&gt;"&amp;CashLabel)/ConcDenom))</f>
        <v/>
      </c>
      <c r="U79" s="14">
        <f>IF($B79="","",IF($D79=CashLabel,"",SUMIFS($P$5:$P$204,$D$5:$D$204,$D79,$D$5:$D$204,"&lt;&gt;"&amp;CashLabel)/ConcDenom))</f>
        <v/>
      </c>
      <c r="V79" s="15">
        <f>IF($B79="","",IF($D79=CashLabel,1,IF($R79&gt;ThrSingle,ThrSingle/$R79,1)))</f>
        <v/>
      </c>
      <c r="W79" s="15">
        <f>IF($B79="","",IF($D79=CashLabel,1,IF($S79&gt;ThrIssuer,ThrIssuer/$S79,1)))</f>
        <v/>
      </c>
      <c r="X79" s="15">
        <f>IF($B79="","",IF($D79=CashLabel,1,IF($T79&gt;IFERROR(VLOOKUP($F79,CountryThr,2,FALSE),DefThrCountry),IFERROR(VLOOKUP($F79,CountryThr,2,FALSE),DefThrCountry)/$T79,1)))</f>
        <v/>
      </c>
      <c r="Y79" s="15">
        <f>IF($B79="","",IF($D79=CashLabel,1,IF($U79&gt;IFERROR(VLOOKUP($D79,LVTable,3,FALSE),DefThrAsset),IFERROR(VLOOKUP($D79,LVTable,3,FALSE),DefThrAsset)/$U79,1)))</f>
        <v/>
      </c>
      <c r="Z79" s="34">
        <f>IF($B79="","",IF($D79=CashLabel,1,MIN($V79:$Y79)))</f>
        <v/>
      </c>
      <c r="AA79" s="25">
        <f>IF($B79="","",$P79*$Z79)</f>
        <v/>
      </c>
      <c r="AB79" s="33">
        <f>IF($B79="","",$P79-$AA79)</f>
        <v/>
      </c>
      <c r="AC79" s="21" t="n"/>
      <c r="AD79" s="33">
        <f>IF($B79="","",$M79*(1+IF(ISNUMBER($AC79),$AC79,0)))</f>
        <v/>
      </c>
      <c r="AE79" s="33">
        <f>IF($B79="","",$AD79*$O79)</f>
        <v/>
      </c>
      <c r="AF79" s="14">
        <f>IF($B79="","",IF($D79=CashLabel,"",SUMIFS($AE$5:$AE$204,$B$5:$B$204,$B79,$D$5:$D$204,"&lt;&gt;"&amp;CashLabel)/ConcDenomStr))</f>
        <v/>
      </c>
      <c r="AG79" s="14">
        <f>IF($B79="","",IF($D79=CashLabel,"",SUMIFS($AE$5:$AE$204,$E$5:$E$204,$E79,$D$5:$D$204,"&lt;&gt;"&amp;CashLabel)/ConcDenomStr))</f>
        <v/>
      </c>
      <c r="AH79" s="14">
        <f>IF($B79="","",IF($D79=CashLabel,"",SUMIFS($AE$5:$AE$204,$F$5:$F$204,$F79,$D$5:$D$204,"&lt;&gt;"&amp;CashLabel)/ConcDenomStr))</f>
        <v/>
      </c>
      <c r="AI79" s="14">
        <f>IF($B79="","",IF($D79=CashLabel,"",SUMIFS($AE$5:$AE$204,$D$5:$D$204,$D79,$D$5:$D$204,"&lt;&gt;"&amp;CashLabel)/ConcDenomStr))</f>
        <v/>
      </c>
      <c r="AJ79" s="15">
        <f>IF($B79="","",IF($D79=CashLabel,1,MIN(IF($AF79&gt;ThrSingle,ThrSingle/$AF79,1),IF($AG79&gt;ThrIssuer,ThrIssuer/$AG79,1),IF($AH79&gt;IFERROR(VLOOKUP($F79,CountryThr,2,FALSE),DefThrCountry),IFERROR(VLOOKUP($F79,CountryThr,2,FALSE),DefThrCountry)/$AH79,1),IF($AI79&gt;IFERROR(VLOOKUP($D79,LVTable,3,FALSE),DefThrAsset),IFERROR(VLOOKUP($D79,LVTable,3,FALSE),DefThrAsset)/$AI79,1))))</f>
        <v/>
      </c>
      <c r="AK79" s="33">
        <f>IF($B79="","",$AE79*$AJ79)</f>
        <v/>
      </c>
    </row>
    <row r="80">
      <c r="A80" s="16">
        <f>IF($B80="","",ROW()-4)</f>
        <v/>
      </c>
      <c r="B80" s="20" t="n"/>
      <c r="C80" s="20" t="n"/>
      <c r="D80" s="20" t="n"/>
      <c r="E80" s="20" t="n"/>
      <c r="F80" s="20" t="n"/>
      <c r="G80" s="20" t="n"/>
      <c r="H80" s="30" t="n"/>
      <c r="I80" s="30" t="n"/>
      <c r="J80" s="30" t="n"/>
      <c r="K80" s="31">
        <f>IF($B80="","",IF(ISNUMBER($J80),$J80,$I80))</f>
        <v/>
      </c>
      <c r="L80" s="32">
        <f>IF($B80="","",IFERROR(VLOOKUP($G80,FXRates,4,FALSE),1))</f>
        <v/>
      </c>
      <c r="M80" s="33">
        <f>IF($B80="","",$H80*$K80*$L80)</f>
        <v/>
      </c>
      <c r="N80" s="21" t="n"/>
      <c r="O80" s="14">
        <f>IF($B80="","",IF($D80=CashLabel,IF(ISNUMBER($N80),$N80,1),MIN(IF(ISNUMBER($N80),$N80,IFERROR(VLOOKUP($D80,LVTable,2,FALSE),0)),LVCap)))</f>
        <v/>
      </c>
      <c r="P80" s="25">
        <f>IF($B80="","",$M80*$O80)</f>
        <v/>
      </c>
      <c r="Q80" s="16">
        <f>IF($B80="","",IFERROR(VLOOKUP($G80,FXRates,5,FALSE),$G80))</f>
        <v/>
      </c>
      <c r="R80" s="14">
        <f>IF($B80="","",IF($D80=CashLabel,"",SUMIFS($P$5:$P$204,$B$5:$B$204,$B80,$D$5:$D$204,"&lt;&gt;"&amp;CashLabel)/ConcDenom))</f>
        <v/>
      </c>
      <c r="S80" s="14">
        <f>IF($B80="","",IF($D80=CashLabel,"",SUMIFS($P$5:$P$204,$E$5:$E$204,$E80,$D$5:$D$204,"&lt;&gt;"&amp;CashLabel)/ConcDenom))</f>
        <v/>
      </c>
      <c r="T80" s="14">
        <f>IF($B80="","",IF($D80=CashLabel,"",SUMIFS($P$5:$P$204,$F$5:$F$204,$F80,$D$5:$D$204,"&lt;&gt;"&amp;CashLabel)/ConcDenom))</f>
        <v/>
      </c>
      <c r="U80" s="14">
        <f>IF($B80="","",IF($D80=CashLabel,"",SUMIFS($P$5:$P$204,$D$5:$D$204,$D80,$D$5:$D$204,"&lt;&gt;"&amp;CashLabel)/ConcDenom))</f>
        <v/>
      </c>
      <c r="V80" s="15">
        <f>IF($B80="","",IF($D80=CashLabel,1,IF($R80&gt;ThrSingle,ThrSingle/$R80,1)))</f>
        <v/>
      </c>
      <c r="W80" s="15">
        <f>IF($B80="","",IF($D80=CashLabel,1,IF($S80&gt;ThrIssuer,ThrIssuer/$S80,1)))</f>
        <v/>
      </c>
      <c r="X80" s="15">
        <f>IF($B80="","",IF($D80=CashLabel,1,IF($T80&gt;IFERROR(VLOOKUP($F80,CountryThr,2,FALSE),DefThrCountry),IFERROR(VLOOKUP($F80,CountryThr,2,FALSE),DefThrCountry)/$T80,1)))</f>
        <v/>
      </c>
      <c r="Y80" s="15">
        <f>IF($B80="","",IF($D80=CashLabel,1,IF($U80&gt;IFERROR(VLOOKUP($D80,LVTable,3,FALSE),DefThrAsset),IFERROR(VLOOKUP($D80,LVTable,3,FALSE),DefThrAsset)/$U80,1)))</f>
        <v/>
      </c>
      <c r="Z80" s="34">
        <f>IF($B80="","",IF($D80=CashLabel,1,MIN($V80:$Y80)))</f>
        <v/>
      </c>
      <c r="AA80" s="25">
        <f>IF($B80="","",$P80*$Z80)</f>
        <v/>
      </c>
      <c r="AB80" s="33">
        <f>IF($B80="","",$P80-$AA80)</f>
        <v/>
      </c>
      <c r="AC80" s="21" t="n"/>
      <c r="AD80" s="33">
        <f>IF($B80="","",$M80*(1+IF(ISNUMBER($AC80),$AC80,0)))</f>
        <v/>
      </c>
      <c r="AE80" s="33">
        <f>IF($B80="","",$AD80*$O80)</f>
        <v/>
      </c>
      <c r="AF80" s="14">
        <f>IF($B80="","",IF($D80=CashLabel,"",SUMIFS($AE$5:$AE$204,$B$5:$B$204,$B80,$D$5:$D$204,"&lt;&gt;"&amp;CashLabel)/ConcDenomStr))</f>
        <v/>
      </c>
      <c r="AG80" s="14">
        <f>IF($B80="","",IF($D80=CashLabel,"",SUMIFS($AE$5:$AE$204,$E$5:$E$204,$E80,$D$5:$D$204,"&lt;&gt;"&amp;CashLabel)/ConcDenomStr))</f>
        <v/>
      </c>
      <c r="AH80" s="14">
        <f>IF($B80="","",IF($D80=CashLabel,"",SUMIFS($AE$5:$AE$204,$F$5:$F$204,$F80,$D$5:$D$204,"&lt;&gt;"&amp;CashLabel)/ConcDenomStr))</f>
        <v/>
      </c>
      <c r="AI80" s="14">
        <f>IF($B80="","",IF($D80=CashLabel,"",SUMIFS($AE$5:$AE$204,$D$5:$D$204,$D80,$D$5:$D$204,"&lt;&gt;"&amp;CashLabel)/ConcDenomStr))</f>
        <v/>
      </c>
      <c r="AJ80" s="15">
        <f>IF($B80="","",IF($D80=CashLabel,1,MIN(IF($AF80&gt;ThrSingle,ThrSingle/$AF80,1),IF($AG80&gt;ThrIssuer,ThrIssuer/$AG80,1),IF($AH80&gt;IFERROR(VLOOKUP($F80,CountryThr,2,FALSE),DefThrCountry),IFERROR(VLOOKUP($F80,CountryThr,2,FALSE),DefThrCountry)/$AH80,1),IF($AI80&gt;IFERROR(VLOOKUP($D80,LVTable,3,FALSE),DefThrAsset),IFERROR(VLOOKUP($D80,LVTable,3,FALSE),DefThrAsset)/$AI80,1))))</f>
        <v/>
      </c>
      <c r="AK80" s="33">
        <f>IF($B80="","",$AE80*$AJ80)</f>
        <v/>
      </c>
    </row>
    <row r="81">
      <c r="A81" s="16">
        <f>IF($B81="","",ROW()-4)</f>
        <v/>
      </c>
      <c r="B81" s="20" t="n"/>
      <c r="C81" s="20" t="n"/>
      <c r="D81" s="20" t="n"/>
      <c r="E81" s="20" t="n"/>
      <c r="F81" s="20" t="n"/>
      <c r="G81" s="20" t="n"/>
      <c r="H81" s="30" t="n"/>
      <c r="I81" s="30" t="n"/>
      <c r="J81" s="30" t="n"/>
      <c r="K81" s="31">
        <f>IF($B81="","",IF(ISNUMBER($J81),$J81,$I81))</f>
        <v/>
      </c>
      <c r="L81" s="32">
        <f>IF($B81="","",IFERROR(VLOOKUP($G81,FXRates,4,FALSE),1))</f>
        <v/>
      </c>
      <c r="M81" s="33">
        <f>IF($B81="","",$H81*$K81*$L81)</f>
        <v/>
      </c>
      <c r="N81" s="21" t="n"/>
      <c r="O81" s="14">
        <f>IF($B81="","",IF($D81=CashLabel,IF(ISNUMBER($N81),$N81,1),MIN(IF(ISNUMBER($N81),$N81,IFERROR(VLOOKUP($D81,LVTable,2,FALSE),0)),LVCap)))</f>
        <v/>
      </c>
      <c r="P81" s="25">
        <f>IF($B81="","",$M81*$O81)</f>
        <v/>
      </c>
      <c r="Q81" s="16">
        <f>IF($B81="","",IFERROR(VLOOKUP($G81,FXRates,5,FALSE),$G81))</f>
        <v/>
      </c>
      <c r="R81" s="14">
        <f>IF($B81="","",IF($D81=CashLabel,"",SUMIFS($P$5:$P$204,$B$5:$B$204,$B81,$D$5:$D$204,"&lt;&gt;"&amp;CashLabel)/ConcDenom))</f>
        <v/>
      </c>
      <c r="S81" s="14">
        <f>IF($B81="","",IF($D81=CashLabel,"",SUMIFS($P$5:$P$204,$E$5:$E$204,$E81,$D$5:$D$204,"&lt;&gt;"&amp;CashLabel)/ConcDenom))</f>
        <v/>
      </c>
      <c r="T81" s="14">
        <f>IF($B81="","",IF($D81=CashLabel,"",SUMIFS($P$5:$P$204,$F$5:$F$204,$F81,$D$5:$D$204,"&lt;&gt;"&amp;CashLabel)/ConcDenom))</f>
        <v/>
      </c>
      <c r="U81" s="14">
        <f>IF($B81="","",IF($D81=CashLabel,"",SUMIFS($P$5:$P$204,$D$5:$D$204,$D81,$D$5:$D$204,"&lt;&gt;"&amp;CashLabel)/ConcDenom))</f>
        <v/>
      </c>
      <c r="V81" s="15">
        <f>IF($B81="","",IF($D81=CashLabel,1,IF($R81&gt;ThrSingle,ThrSingle/$R81,1)))</f>
        <v/>
      </c>
      <c r="W81" s="15">
        <f>IF($B81="","",IF($D81=CashLabel,1,IF($S81&gt;ThrIssuer,ThrIssuer/$S81,1)))</f>
        <v/>
      </c>
      <c r="X81" s="15">
        <f>IF($B81="","",IF($D81=CashLabel,1,IF($T81&gt;IFERROR(VLOOKUP($F81,CountryThr,2,FALSE),DefThrCountry),IFERROR(VLOOKUP($F81,CountryThr,2,FALSE),DefThrCountry)/$T81,1)))</f>
        <v/>
      </c>
      <c r="Y81" s="15">
        <f>IF($B81="","",IF($D81=CashLabel,1,IF($U81&gt;IFERROR(VLOOKUP($D81,LVTable,3,FALSE),DefThrAsset),IFERROR(VLOOKUP($D81,LVTable,3,FALSE),DefThrAsset)/$U81,1)))</f>
        <v/>
      </c>
      <c r="Z81" s="34">
        <f>IF($B81="","",IF($D81=CashLabel,1,MIN($V81:$Y81)))</f>
        <v/>
      </c>
      <c r="AA81" s="25">
        <f>IF($B81="","",$P81*$Z81)</f>
        <v/>
      </c>
      <c r="AB81" s="33">
        <f>IF($B81="","",$P81-$AA81)</f>
        <v/>
      </c>
      <c r="AC81" s="21" t="n"/>
      <c r="AD81" s="33">
        <f>IF($B81="","",$M81*(1+IF(ISNUMBER($AC81),$AC81,0)))</f>
        <v/>
      </c>
      <c r="AE81" s="33">
        <f>IF($B81="","",$AD81*$O81)</f>
        <v/>
      </c>
      <c r="AF81" s="14">
        <f>IF($B81="","",IF($D81=CashLabel,"",SUMIFS($AE$5:$AE$204,$B$5:$B$204,$B81,$D$5:$D$204,"&lt;&gt;"&amp;CashLabel)/ConcDenomStr))</f>
        <v/>
      </c>
      <c r="AG81" s="14">
        <f>IF($B81="","",IF($D81=CashLabel,"",SUMIFS($AE$5:$AE$204,$E$5:$E$204,$E81,$D$5:$D$204,"&lt;&gt;"&amp;CashLabel)/ConcDenomStr))</f>
        <v/>
      </c>
      <c r="AH81" s="14">
        <f>IF($B81="","",IF($D81=CashLabel,"",SUMIFS($AE$5:$AE$204,$F$5:$F$204,$F81,$D$5:$D$204,"&lt;&gt;"&amp;CashLabel)/ConcDenomStr))</f>
        <v/>
      </c>
      <c r="AI81" s="14">
        <f>IF($B81="","",IF($D81=CashLabel,"",SUMIFS($AE$5:$AE$204,$D$5:$D$204,$D81,$D$5:$D$204,"&lt;&gt;"&amp;CashLabel)/ConcDenomStr))</f>
        <v/>
      </c>
      <c r="AJ81" s="15">
        <f>IF($B81="","",IF($D81=CashLabel,1,MIN(IF($AF81&gt;ThrSingle,ThrSingle/$AF81,1),IF($AG81&gt;ThrIssuer,ThrIssuer/$AG81,1),IF($AH81&gt;IFERROR(VLOOKUP($F81,CountryThr,2,FALSE),DefThrCountry),IFERROR(VLOOKUP($F81,CountryThr,2,FALSE),DefThrCountry)/$AH81,1),IF($AI81&gt;IFERROR(VLOOKUP($D81,LVTable,3,FALSE),DefThrAsset),IFERROR(VLOOKUP($D81,LVTable,3,FALSE),DefThrAsset)/$AI81,1))))</f>
        <v/>
      </c>
      <c r="AK81" s="33">
        <f>IF($B81="","",$AE81*$AJ81)</f>
        <v/>
      </c>
    </row>
    <row r="82">
      <c r="A82" s="16">
        <f>IF($B82="","",ROW()-4)</f>
        <v/>
      </c>
      <c r="B82" s="20" t="n"/>
      <c r="C82" s="20" t="n"/>
      <c r="D82" s="20" t="n"/>
      <c r="E82" s="20" t="n"/>
      <c r="F82" s="20" t="n"/>
      <c r="G82" s="20" t="n"/>
      <c r="H82" s="30" t="n"/>
      <c r="I82" s="30" t="n"/>
      <c r="J82" s="30" t="n"/>
      <c r="K82" s="31">
        <f>IF($B82="","",IF(ISNUMBER($J82),$J82,$I82))</f>
        <v/>
      </c>
      <c r="L82" s="32">
        <f>IF($B82="","",IFERROR(VLOOKUP($G82,FXRates,4,FALSE),1))</f>
        <v/>
      </c>
      <c r="M82" s="33">
        <f>IF($B82="","",$H82*$K82*$L82)</f>
        <v/>
      </c>
      <c r="N82" s="21" t="n"/>
      <c r="O82" s="14">
        <f>IF($B82="","",IF($D82=CashLabel,IF(ISNUMBER($N82),$N82,1),MIN(IF(ISNUMBER($N82),$N82,IFERROR(VLOOKUP($D82,LVTable,2,FALSE),0)),LVCap)))</f>
        <v/>
      </c>
      <c r="P82" s="25">
        <f>IF($B82="","",$M82*$O82)</f>
        <v/>
      </c>
      <c r="Q82" s="16">
        <f>IF($B82="","",IFERROR(VLOOKUP($G82,FXRates,5,FALSE),$G82))</f>
        <v/>
      </c>
      <c r="R82" s="14">
        <f>IF($B82="","",IF($D82=CashLabel,"",SUMIFS($P$5:$P$204,$B$5:$B$204,$B82,$D$5:$D$204,"&lt;&gt;"&amp;CashLabel)/ConcDenom))</f>
        <v/>
      </c>
      <c r="S82" s="14">
        <f>IF($B82="","",IF($D82=CashLabel,"",SUMIFS($P$5:$P$204,$E$5:$E$204,$E82,$D$5:$D$204,"&lt;&gt;"&amp;CashLabel)/ConcDenom))</f>
        <v/>
      </c>
      <c r="T82" s="14">
        <f>IF($B82="","",IF($D82=CashLabel,"",SUMIFS($P$5:$P$204,$F$5:$F$204,$F82,$D$5:$D$204,"&lt;&gt;"&amp;CashLabel)/ConcDenom))</f>
        <v/>
      </c>
      <c r="U82" s="14">
        <f>IF($B82="","",IF($D82=CashLabel,"",SUMIFS($P$5:$P$204,$D$5:$D$204,$D82,$D$5:$D$204,"&lt;&gt;"&amp;CashLabel)/ConcDenom))</f>
        <v/>
      </c>
      <c r="V82" s="15">
        <f>IF($B82="","",IF($D82=CashLabel,1,IF($R82&gt;ThrSingle,ThrSingle/$R82,1)))</f>
        <v/>
      </c>
      <c r="W82" s="15">
        <f>IF($B82="","",IF($D82=CashLabel,1,IF($S82&gt;ThrIssuer,ThrIssuer/$S82,1)))</f>
        <v/>
      </c>
      <c r="X82" s="15">
        <f>IF($B82="","",IF($D82=CashLabel,1,IF($T82&gt;IFERROR(VLOOKUP($F82,CountryThr,2,FALSE),DefThrCountry),IFERROR(VLOOKUP($F82,CountryThr,2,FALSE),DefThrCountry)/$T82,1)))</f>
        <v/>
      </c>
      <c r="Y82" s="15">
        <f>IF($B82="","",IF($D82=CashLabel,1,IF($U82&gt;IFERROR(VLOOKUP($D82,LVTable,3,FALSE),DefThrAsset),IFERROR(VLOOKUP($D82,LVTable,3,FALSE),DefThrAsset)/$U82,1)))</f>
        <v/>
      </c>
      <c r="Z82" s="34">
        <f>IF($B82="","",IF($D82=CashLabel,1,MIN($V82:$Y82)))</f>
        <v/>
      </c>
      <c r="AA82" s="25">
        <f>IF($B82="","",$P82*$Z82)</f>
        <v/>
      </c>
      <c r="AB82" s="33">
        <f>IF($B82="","",$P82-$AA82)</f>
        <v/>
      </c>
      <c r="AC82" s="21" t="n"/>
      <c r="AD82" s="33">
        <f>IF($B82="","",$M82*(1+IF(ISNUMBER($AC82),$AC82,0)))</f>
        <v/>
      </c>
      <c r="AE82" s="33">
        <f>IF($B82="","",$AD82*$O82)</f>
        <v/>
      </c>
      <c r="AF82" s="14">
        <f>IF($B82="","",IF($D82=CashLabel,"",SUMIFS($AE$5:$AE$204,$B$5:$B$204,$B82,$D$5:$D$204,"&lt;&gt;"&amp;CashLabel)/ConcDenomStr))</f>
        <v/>
      </c>
      <c r="AG82" s="14">
        <f>IF($B82="","",IF($D82=CashLabel,"",SUMIFS($AE$5:$AE$204,$E$5:$E$204,$E82,$D$5:$D$204,"&lt;&gt;"&amp;CashLabel)/ConcDenomStr))</f>
        <v/>
      </c>
      <c r="AH82" s="14">
        <f>IF($B82="","",IF($D82=CashLabel,"",SUMIFS($AE$5:$AE$204,$F$5:$F$204,$F82,$D$5:$D$204,"&lt;&gt;"&amp;CashLabel)/ConcDenomStr))</f>
        <v/>
      </c>
      <c r="AI82" s="14">
        <f>IF($B82="","",IF($D82=CashLabel,"",SUMIFS($AE$5:$AE$204,$D$5:$D$204,$D82,$D$5:$D$204,"&lt;&gt;"&amp;CashLabel)/ConcDenomStr))</f>
        <v/>
      </c>
      <c r="AJ82" s="15">
        <f>IF($B82="","",IF($D82=CashLabel,1,MIN(IF($AF82&gt;ThrSingle,ThrSingle/$AF82,1),IF($AG82&gt;ThrIssuer,ThrIssuer/$AG82,1),IF($AH82&gt;IFERROR(VLOOKUP($F82,CountryThr,2,FALSE),DefThrCountry),IFERROR(VLOOKUP($F82,CountryThr,2,FALSE),DefThrCountry)/$AH82,1),IF($AI82&gt;IFERROR(VLOOKUP($D82,LVTable,3,FALSE),DefThrAsset),IFERROR(VLOOKUP($D82,LVTable,3,FALSE),DefThrAsset)/$AI82,1))))</f>
        <v/>
      </c>
      <c r="AK82" s="33">
        <f>IF($B82="","",$AE82*$AJ82)</f>
        <v/>
      </c>
    </row>
    <row r="83">
      <c r="A83" s="16">
        <f>IF($B83="","",ROW()-4)</f>
        <v/>
      </c>
      <c r="B83" s="20" t="n"/>
      <c r="C83" s="20" t="n"/>
      <c r="D83" s="20" t="n"/>
      <c r="E83" s="20" t="n"/>
      <c r="F83" s="20" t="n"/>
      <c r="G83" s="20" t="n"/>
      <c r="H83" s="30" t="n"/>
      <c r="I83" s="30" t="n"/>
      <c r="J83" s="30" t="n"/>
      <c r="K83" s="31">
        <f>IF($B83="","",IF(ISNUMBER($J83),$J83,$I83))</f>
        <v/>
      </c>
      <c r="L83" s="32">
        <f>IF($B83="","",IFERROR(VLOOKUP($G83,FXRates,4,FALSE),1))</f>
        <v/>
      </c>
      <c r="M83" s="33">
        <f>IF($B83="","",$H83*$K83*$L83)</f>
        <v/>
      </c>
      <c r="N83" s="21" t="n"/>
      <c r="O83" s="14">
        <f>IF($B83="","",IF($D83=CashLabel,IF(ISNUMBER($N83),$N83,1),MIN(IF(ISNUMBER($N83),$N83,IFERROR(VLOOKUP($D83,LVTable,2,FALSE),0)),LVCap)))</f>
        <v/>
      </c>
      <c r="P83" s="25">
        <f>IF($B83="","",$M83*$O83)</f>
        <v/>
      </c>
      <c r="Q83" s="16">
        <f>IF($B83="","",IFERROR(VLOOKUP($G83,FXRates,5,FALSE),$G83))</f>
        <v/>
      </c>
      <c r="R83" s="14">
        <f>IF($B83="","",IF($D83=CashLabel,"",SUMIFS($P$5:$P$204,$B$5:$B$204,$B83,$D$5:$D$204,"&lt;&gt;"&amp;CashLabel)/ConcDenom))</f>
        <v/>
      </c>
      <c r="S83" s="14">
        <f>IF($B83="","",IF($D83=CashLabel,"",SUMIFS($P$5:$P$204,$E$5:$E$204,$E83,$D$5:$D$204,"&lt;&gt;"&amp;CashLabel)/ConcDenom))</f>
        <v/>
      </c>
      <c r="T83" s="14">
        <f>IF($B83="","",IF($D83=CashLabel,"",SUMIFS($P$5:$P$204,$F$5:$F$204,$F83,$D$5:$D$204,"&lt;&gt;"&amp;CashLabel)/ConcDenom))</f>
        <v/>
      </c>
      <c r="U83" s="14">
        <f>IF($B83="","",IF($D83=CashLabel,"",SUMIFS($P$5:$P$204,$D$5:$D$204,$D83,$D$5:$D$204,"&lt;&gt;"&amp;CashLabel)/ConcDenom))</f>
        <v/>
      </c>
      <c r="V83" s="15">
        <f>IF($B83="","",IF($D83=CashLabel,1,IF($R83&gt;ThrSingle,ThrSingle/$R83,1)))</f>
        <v/>
      </c>
      <c r="W83" s="15">
        <f>IF($B83="","",IF($D83=CashLabel,1,IF($S83&gt;ThrIssuer,ThrIssuer/$S83,1)))</f>
        <v/>
      </c>
      <c r="X83" s="15">
        <f>IF($B83="","",IF($D83=CashLabel,1,IF($T83&gt;IFERROR(VLOOKUP($F83,CountryThr,2,FALSE),DefThrCountry),IFERROR(VLOOKUP($F83,CountryThr,2,FALSE),DefThrCountry)/$T83,1)))</f>
        <v/>
      </c>
      <c r="Y83" s="15">
        <f>IF($B83="","",IF($D83=CashLabel,1,IF($U83&gt;IFERROR(VLOOKUP($D83,LVTable,3,FALSE),DefThrAsset),IFERROR(VLOOKUP($D83,LVTable,3,FALSE),DefThrAsset)/$U83,1)))</f>
        <v/>
      </c>
      <c r="Z83" s="34">
        <f>IF($B83="","",IF($D83=CashLabel,1,MIN($V83:$Y83)))</f>
        <v/>
      </c>
      <c r="AA83" s="25">
        <f>IF($B83="","",$P83*$Z83)</f>
        <v/>
      </c>
      <c r="AB83" s="33">
        <f>IF($B83="","",$P83-$AA83)</f>
        <v/>
      </c>
      <c r="AC83" s="21" t="n"/>
      <c r="AD83" s="33">
        <f>IF($B83="","",$M83*(1+IF(ISNUMBER($AC83),$AC83,0)))</f>
        <v/>
      </c>
      <c r="AE83" s="33">
        <f>IF($B83="","",$AD83*$O83)</f>
        <v/>
      </c>
      <c r="AF83" s="14">
        <f>IF($B83="","",IF($D83=CashLabel,"",SUMIFS($AE$5:$AE$204,$B$5:$B$204,$B83,$D$5:$D$204,"&lt;&gt;"&amp;CashLabel)/ConcDenomStr))</f>
        <v/>
      </c>
      <c r="AG83" s="14">
        <f>IF($B83="","",IF($D83=CashLabel,"",SUMIFS($AE$5:$AE$204,$E$5:$E$204,$E83,$D$5:$D$204,"&lt;&gt;"&amp;CashLabel)/ConcDenomStr))</f>
        <v/>
      </c>
      <c r="AH83" s="14">
        <f>IF($B83="","",IF($D83=CashLabel,"",SUMIFS($AE$5:$AE$204,$F$5:$F$204,$F83,$D$5:$D$204,"&lt;&gt;"&amp;CashLabel)/ConcDenomStr))</f>
        <v/>
      </c>
      <c r="AI83" s="14">
        <f>IF($B83="","",IF($D83=CashLabel,"",SUMIFS($AE$5:$AE$204,$D$5:$D$204,$D83,$D$5:$D$204,"&lt;&gt;"&amp;CashLabel)/ConcDenomStr))</f>
        <v/>
      </c>
      <c r="AJ83" s="15">
        <f>IF($B83="","",IF($D83=CashLabel,1,MIN(IF($AF83&gt;ThrSingle,ThrSingle/$AF83,1),IF($AG83&gt;ThrIssuer,ThrIssuer/$AG83,1),IF($AH83&gt;IFERROR(VLOOKUP($F83,CountryThr,2,FALSE),DefThrCountry),IFERROR(VLOOKUP($F83,CountryThr,2,FALSE),DefThrCountry)/$AH83,1),IF($AI83&gt;IFERROR(VLOOKUP($D83,LVTable,3,FALSE),DefThrAsset),IFERROR(VLOOKUP($D83,LVTable,3,FALSE),DefThrAsset)/$AI83,1))))</f>
        <v/>
      </c>
      <c r="AK83" s="33">
        <f>IF($B83="","",$AE83*$AJ83)</f>
        <v/>
      </c>
    </row>
    <row r="84">
      <c r="A84" s="16">
        <f>IF($B84="","",ROW()-4)</f>
        <v/>
      </c>
      <c r="B84" s="20" t="n"/>
      <c r="C84" s="20" t="n"/>
      <c r="D84" s="20" t="n"/>
      <c r="E84" s="20" t="n"/>
      <c r="F84" s="20" t="n"/>
      <c r="G84" s="20" t="n"/>
      <c r="H84" s="30" t="n"/>
      <c r="I84" s="30" t="n"/>
      <c r="J84" s="30" t="n"/>
      <c r="K84" s="31">
        <f>IF($B84="","",IF(ISNUMBER($J84),$J84,$I84))</f>
        <v/>
      </c>
      <c r="L84" s="32">
        <f>IF($B84="","",IFERROR(VLOOKUP($G84,FXRates,4,FALSE),1))</f>
        <v/>
      </c>
      <c r="M84" s="33">
        <f>IF($B84="","",$H84*$K84*$L84)</f>
        <v/>
      </c>
      <c r="N84" s="21" t="n"/>
      <c r="O84" s="14">
        <f>IF($B84="","",IF($D84=CashLabel,IF(ISNUMBER($N84),$N84,1),MIN(IF(ISNUMBER($N84),$N84,IFERROR(VLOOKUP($D84,LVTable,2,FALSE),0)),LVCap)))</f>
        <v/>
      </c>
      <c r="P84" s="25">
        <f>IF($B84="","",$M84*$O84)</f>
        <v/>
      </c>
      <c r="Q84" s="16">
        <f>IF($B84="","",IFERROR(VLOOKUP($G84,FXRates,5,FALSE),$G84))</f>
        <v/>
      </c>
      <c r="R84" s="14">
        <f>IF($B84="","",IF($D84=CashLabel,"",SUMIFS($P$5:$P$204,$B$5:$B$204,$B84,$D$5:$D$204,"&lt;&gt;"&amp;CashLabel)/ConcDenom))</f>
        <v/>
      </c>
      <c r="S84" s="14">
        <f>IF($B84="","",IF($D84=CashLabel,"",SUMIFS($P$5:$P$204,$E$5:$E$204,$E84,$D$5:$D$204,"&lt;&gt;"&amp;CashLabel)/ConcDenom))</f>
        <v/>
      </c>
      <c r="T84" s="14">
        <f>IF($B84="","",IF($D84=CashLabel,"",SUMIFS($P$5:$P$204,$F$5:$F$204,$F84,$D$5:$D$204,"&lt;&gt;"&amp;CashLabel)/ConcDenom))</f>
        <v/>
      </c>
      <c r="U84" s="14">
        <f>IF($B84="","",IF($D84=CashLabel,"",SUMIFS($P$5:$P$204,$D$5:$D$204,$D84,$D$5:$D$204,"&lt;&gt;"&amp;CashLabel)/ConcDenom))</f>
        <v/>
      </c>
      <c r="V84" s="15">
        <f>IF($B84="","",IF($D84=CashLabel,1,IF($R84&gt;ThrSingle,ThrSingle/$R84,1)))</f>
        <v/>
      </c>
      <c r="W84" s="15">
        <f>IF($B84="","",IF($D84=CashLabel,1,IF($S84&gt;ThrIssuer,ThrIssuer/$S84,1)))</f>
        <v/>
      </c>
      <c r="X84" s="15">
        <f>IF($B84="","",IF($D84=CashLabel,1,IF($T84&gt;IFERROR(VLOOKUP($F84,CountryThr,2,FALSE),DefThrCountry),IFERROR(VLOOKUP($F84,CountryThr,2,FALSE),DefThrCountry)/$T84,1)))</f>
        <v/>
      </c>
      <c r="Y84" s="15">
        <f>IF($B84="","",IF($D84=CashLabel,1,IF($U84&gt;IFERROR(VLOOKUP($D84,LVTable,3,FALSE),DefThrAsset),IFERROR(VLOOKUP($D84,LVTable,3,FALSE),DefThrAsset)/$U84,1)))</f>
        <v/>
      </c>
      <c r="Z84" s="34">
        <f>IF($B84="","",IF($D84=CashLabel,1,MIN($V84:$Y84)))</f>
        <v/>
      </c>
      <c r="AA84" s="25">
        <f>IF($B84="","",$P84*$Z84)</f>
        <v/>
      </c>
      <c r="AB84" s="33">
        <f>IF($B84="","",$P84-$AA84)</f>
        <v/>
      </c>
      <c r="AC84" s="21" t="n"/>
      <c r="AD84" s="33">
        <f>IF($B84="","",$M84*(1+IF(ISNUMBER($AC84),$AC84,0)))</f>
        <v/>
      </c>
      <c r="AE84" s="33">
        <f>IF($B84="","",$AD84*$O84)</f>
        <v/>
      </c>
      <c r="AF84" s="14">
        <f>IF($B84="","",IF($D84=CashLabel,"",SUMIFS($AE$5:$AE$204,$B$5:$B$204,$B84,$D$5:$D$204,"&lt;&gt;"&amp;CashLabel)/ConcDenomStr))</f>
        <v/>
      </c>
      <c r="AG84" s="14">
        <f>IF($B84="","",IF($D84=CashLabel,"",SUMIFS($AE$5:$AE$204,$E$5:$E$204,$E84,$D$5:$D$204,"&lt;&gt;"&amp;CashLabel)/ConcDenomStr))</f>
        <v/>
      </c>
      <c r="AH84" s="14">
        <f>IF($B84="","",IF($D84=CashLabel,"",SUMIFS($AE$5:$AE$204,$F$5:$F$204,$F84,$D$5:$D$204,"&lt;&gt;"&amp;CashLabel)/ConcDenomStr))</f>
        <v/>
      </c>
      <c r="AI84" s="14">
        <f>IF($B84="","",IF($D84=CashLabel,"",SUMIFS($AE$5:$AE$204,$D$5:$D$204,$D84,$D$5:$D$204,"&lt;&gt;"&amp;CashLabel)/ConcDenomStr))</f>
        <v/>
      </c>
      <c r="AJ84" s="15">
        <f>IF($B84="","",IF($D84=CashLabel,1,MIN(IF($AF84&gt;ThrSingle,ThrSingle/$AF84,1),IF($AG84&gt;ThrIssuer,ThrIssuer/$AG84,1),IF($AH84&gt;IFERROR(VLOOKUP($F84,CountryThr,2,FALSE),DefThrCountry),IFERROR(VLOOKUP($F84,CountryThr,2,FALSE),DefThrCountry)/$AH84,1),IF($AI84&gt;IFERROR(VLOOKUP($D84,LVTable,3,FALSE),DefThrAsset),IFERROR(VLOOKUP($D84,LVTable,3,FALSE),DefThrAsset)/$AI84,1))))</f>
        <v/>
      </c>
      <c r="AK84" s="33">
        <f>IF($B84="","",$AE84*$AJ84)</f>
        <v/>
      </c>
    </row>
    <row r="85">
      <c r="A85" s="16">
        <f>IF($B85="","",ROW()-4)</f>
        <v/>
      </c>
      <c r="B85" s="20" t="n"/>
      <c r="C85" s="20" t="n"/>
      <c r="D85" s="20" t="n"/>
      <c r="E85" s="20" t="n"/>
      <c r="F85" s="20" t="n"/>
      <c r="G85" s="20" t="n"/>
      <c r="H85" s="30" t="n"/>
      <c r="I85" s="30" t="n"/>
      <c r="J85" s="30" t="n"/>
      <c r="K85" s="31">
        <f>IF($B85="","",IF(ISNUMBER($J85),$J85,$I85))</f>
        <v/>
      </c>
      <c r="L85" s="32">
        <f>IF($B85="","",IFERROR(VLOOKUP($G85,FXRates,4,FALSE),1))</f>
        <v/>
      </c>
      <c r="M85" s="33">
        <f>IF($B85="","",$H85*$K85*$L85)</f>
        <v/>
      </c>
      <c r="N85" s="21" t="n"/>
      <c r="O85" s="14">
        <f>IF($B85="","",IF($D85=CashLabel,IF(ISNUMBER($N85),$N85,1),MIN(IF(ISNUMBER($N85),$N85,IFERROR(VLOOKUP($D85,LVTable,2,FALSE),0)),LVCap)))</f>
        <v/>
      </c>
      <c r="P85" s="25">
        <f>IF($B85="","",$M85*$O85)</f>
        <v/>
      </c>
      <c r="Q85" s="16">
        <f>IF($B85="","",IFERROR(VLOOKUP($G85,FXRates,5,FALSE),$G85))</f>
        <v/>
      </c>
      <c r="R85" s="14">
        <f>IF($B85="","",IF($D85=CashLabel,"",SUMIFS($P$5:$P$204,$B$5:$B$204,$B85,$D$5:$D$204,"&lt;&gt;"&amp;CashLabel)/ConcDenom))</f>
        <v/>
      </c>
      <c r="S85" s="14">
        <f>IF($B85="","",IF($D85=CashLabel,"",SUMIFS($P$5:$P$204,$E$5:$E$204,$E85,$D$5:$D$204,"&lt;&gt;"&amp;CashLabel)/ConcDenom))</f>
        <v/>
      </c>
      <c r="T85" s="14">
        <f>IF($B85="","",IF($D85=CashLabel,"",SUMIFS($P$5:$P$204,$F$5:$F$204,$F85,$D$5:$D$204,"&lt;&gt;"&amp;CashLabel)/ConcDenom))</f>
        <v/>
      </c>
      <c r="U85" s="14">
        <f>IF($B85="","",IF($D85=CashLabel,"",SUMIFS($P$5:$P$204,$D$5:$D$204,$D85,$D$5:$D$204,"&lt;&gt;"&amp;CashLabel)/ConcDenom))</f>
        <v/>
      </c>
      <c r="V85" s="15">
        <f>IF($B85="","",IF($D85=CashLabel,1,IF($R85&gt;ThrSingle,ThrSingle/$R85,1)))</f>
        <v/>
      </c>
      <c r="W85" s="15">
        <f>IF($B85="","",IF($D85=CashLabel,1,IF($S85&gt;ThrIssuer,ThrIssuer/$S85,1)))</f>
        <v/>
      </c>
      <c r="X85" s="15">
        <f>IF($B85="","",IF($D85=CashLabel,1,IF($T85&gt;IFERROR(VLOOKUP($F85,CountryThr,2,FALSE),DefThrCountry),IFERROR(VLOOKUP($F85,CountryThr,2,FALSE),DefThrCountry)/$T85,1)))</f>
        <v/>
      </c>
      <c r="Y85" s="15">
        <f>IF($B85="","",IF($D85=CashLabel,1,IF($U85&gt;IFERROR(VLOOKUP($D85,LVTable,3,FALSE),DefThrAsset),IFERROR(VLOOKUP($D85,LVTable,3,FALSE),DefThrAsset)/$U85,1)))</f>
        <v/>
      </c>
      <c r="Z85" s="34">
        <f>IF($B85="","",IF($D85=CashLabel,1,MIN($V85:$Y85)))</f>
        <v/>
      </c>
      <c r="AA85" s="25">
        <f>IF($B85="","",$P85*$Z85)</f>
        <v/>
      </c>
      <c r="AB85" s="33">
        <f>IF($B85="","",$P85-$AA85)</f>
        <v/>
      </c>
      <c r="AC85" s="21" t="n"/>
      <c r="AD85" s="33">
        <f>IF($B85="","",$M85*(1+IF(ISNUMBER($AC85),$AC85,0)))</f>
        <v/>
      </c>
      <c r="AE85" s="33">
        <f>IF($B85="","",$AD85*$O85)</f>
        <v/>
      </c>
      <c r="AF85" s="14">
        <f>IF($B85="","",IF($D85=CashLabel,"",SUMIFS($AE$5:$AE$204,$B$5:$B$204,$B85,$D$5:$D$204,"&lt;&gt;"&amp;CashLabel)/ConcDenomStr))</f>
        <v/>
      </c>
      <c r="AG85" s="14">
        <f>IF($B85="","",IF($D85=CashLabel,"",SUMIFS($AE$5:$AE$204,$E$5:$E$204,$E85,$D$5:$D$204,"&lt;&gt;"&amp;CashLabel)/ConcDenomStr))</f>
        <v/>
      </c>
      <c r="AH85" s="14">
        <f>IF($B85="","",IF($D85=CashLabel,"",SUMIFS($AE$5:$AE$204,$F$5:$F$204,$F85,$D$5:$D$204,"&lt;&gt;"&amp;CashLabel)/ConcDenomStr))</f>
        <v/>
      </c>
      <c r="AI85" s="14">
        <f>IF($B85="","",IF($D85=CashLabel,"",SUMIFS($AE$5:$AE$204,$D$5:$D$204,$D85,$D$5:$D$204,"&lt;&gt;"&amp;CashLabel)/ConcDenomStr))</f>
        <v/>
      </c>
      <c r="AJ85" s="15">
        <f>IF($B85="","",IF($D85=CashLabel,1,MIN(IF($AF85&gt;ThrSingle,ThrSingle/$AF85,1),IF($AG85&gt;ThrIssuer,ThrIssuer/$AG85,1),IF($AH85&gt;IFERROR(VLOOKUP($F85,CountryThr,2,FALSE),DefThrCountry),IFERROR(VLOOKUP($F85,CountryThr,2,FALSE),DefThrCountry)/$AH85,1),IF($AI85&gt;IFERROR(VLOOKUP($D85,LVTable,3,FALSE),DefThrAsset),IFERROR(VLOOKUP($D85,LVTable,3,FALSE),DefThrAsset)/$AI85,1))))</f>
        <v/>
      </c>
      <c r="AK85" s="33">
        <f>IF($B85="","",$AE85*$AJ85)</f>
        <v/>
      </c>
    </row>
    <row r="86">
      <c r="A86" s="16">
        <f>IF($B86="","",ROW()-4)</f>
        <v/>
      </c>
      <c r="B86" s="20" t="n"/>
      <c r="C86" s="20" t="n"/>
      <c r="D86" s="20" t="n"/>
      <c r="E86" s="20" t="n"/>
      <c r="F86" s="20" t="n"/>
      <c r="G86" s="20" t="n"/>
      <c r="H86" s="30" t="n"/>
      <c r="I86" s="30" t="n"/>
      <c r="J86" s="30" t="n"/>
      <c r="K86" s="31">
        <f>IF($B86="","",IF(ISNUMBER($J86),$J86,$I86))</f>
        <v/>
      </c>
      <c r="L86" s="32">
        <f>IF($B86="","",IFERROR(VLOOKUP($G86,FXRates,4,FALSE),1))</f>
        <v/>
      </c>
      <c r="M86" s="33">
        <f>IF($B86="","",$H86*$K86*$L86)</f>
        <v/>
      </c>
      <c r="N86" s="21" t="n"/>
      <c r="O86" s="14">
        <f>IF($B86="","",IF($D86=CashLabel,IF(ISNUMBER($N86),$N86,1),MIN(IF(ISNUMBER($N86),$N86,IFERROR(VLOOKUP($D86,LVTable,2,FALSE),0)),LVCap)))</f>
        <v/>
      </c>
      <c r="P86" s="25">
        <f>IF($B86="","",$M86*$O86)</f>
        <v/>
      </c>
      <c r="Q86" s="16">
        <f>IF($B86="","",IFERROR(VLOOKUP($G86,FXRates,5,FALSE),$G86))</f>
        <v/>
      </c>
      <c r="R86" s="14">
        <f>IF($B86="","",IF($D86=CashLabel,"",SUMIFS($P$5:$P$204,$B$5:$B$204,$B86,$D$5:$D$204,"&lt;&gt;"&amp;CashLabel)/ConcDenom))</f>
        <v/>
      </c>
      <c r="S86" s="14">
        <f>IF($B86="","",IF($D86=CashLabel,"",SUMIFS($P$5:$P$204,$E$5:$E$204,$E86,$D$5:$D$204,"&lt;&gt;"&amp;CashLabel)/ConcDenom))</f>
        <v/>
      </c>
      <c r="T86" s="14">
        <f>IF($B86="","",IF($D86=CashLabel,"",SUMIFS($P$5:$P$204,$F$5:$F$204,$F86,$D$5:$D$204,"&lt;&gt;"&amp;CashLabel)/ConcDenom))</f>
        <v/>
      </c>
      <c r="U86" s="14">
        <f>IF($B86="","",IF($D86=CashLabel,"",SUMIFS($P$5:$P$204,$D$5:$D$204,$D86,$D$5:$D$204,"&lt;&gt;"&amp;CashLabel)/ConcDenom))</f>
        <v/>
      </c>
      <c r="V86" s="15">
        <f>IF($B86="","",IF($D86=CashLabel,1,IF($R86&gt;ThrSingle,ThrSingle/$R86,1)))</f>
        <v/>
      </c>
      <c r="W86" s="15">
        <f>IF($B86="","",IF($D86=CashLabel,1,IF($S86&gt;ThrIssuer,ThrIssuer/$S86,1)))</f>
        <v/>
      </c>
      <c r="X86" s="15">
        <f>IF($B86="","",IF($D86=CashLabel,1,IF($T86&gt;IFERROR(VLOOKUP($F86,CountryThr,2,FALSE),DefThrCountry),IFERROR(VLOOKUP($F86,CountryThr,2,FALSE),DefThrCountry)/$T86,1)))</f>
        <v/>
      </c>
      <c r="Y86" s="15">
        <f>IF($B86="","",IF($D86=CashLabel,1,IF($U86&gt;IFERROR(VLOOKUP($D86,LVTable,3,FALSE),DefThrAsset),IFERROR(VLOOKUP($D86,LVTable,3,FALSE),DefThrAsset)/$U86,1)))</f>
        <v/>
      </c>
      <c r="Z86" s="34">
        <f>IF($B86="","",IF($D86=CashLabel,1,MIN($V86:$Y86)))</f>
        <v/>
      </c>
      <c r="AA86" s="25">
        <f>IF($B86="","",$P86*$Z86)</f>
        <v/>
      </c>
      <c r="AB86" s="33">
        <f>IF($B86="","",$P86-$AA86)</f>
        <v/>
      </c>
      <c r="AC86" s="21" t="n"/>
      <c r="AD86" s="33">
        <f>IF($B86="","",$M86*(1+IF(ISNUMBER($AC86),$AC86,0)))</f>
        <v/>
      </c>
      <c r="AE86" s="33">
        <f>IF($B86="","",$AD86*$O86)</f>
        <v/>
      </c>
      <c r="AF86" s="14">
        <f>IF($B86="","",IF($D86=CashLabel,"",SUMIFS($AE$5:$AE$204,$B$5:$B$204,$B86,$D$5:$D$204,"&lt;&gt;"&amp;CashLabel)/ConcDenomStr))</f>
        <v/>
      </c>
      <c r="AG86" s="14">
        <f>IF($B86="","",IF($D86=CashLabel,"",SUMIFS($AE$5:$AE$204,$E$5:$E$204,$E86,$D$5:$D$204,"&lt;&gt;"&amp;CashLabel)/ConcDenomStr))</f>
        <v/>
      </c>
      <c r="AH86" s="14">
        <f>IF($B86="","",IF($D86=CashLabel,"",SUMIFS($AE$5:$AE$204,$F$5:$F$204,$F86,$D$5:$D$204,"&lt;&gt;"&amp;CashLabel)/ConcDenomStr))</f>
        <v/>
      </c>
      <c r="AI86" s="14">
        <f>IF($B86="","",IF($D86=CashLabel,"",SUMIFS($AE$5:$AE$204,$D$5:$D$204,$D86,$D$5:$D$204,"&lt;&gt;"&amp;CashLabel)/ConcDenomStr))</f>
        <v/>
      </c>
      <c r="AJ86" s="15">
        <f>IF($B86="","",IF($D86=CashLabel,1,MIN(IF($AF86&gt;ThrSingle,ThrSingle/$AF86,1),IF($AG86&gt;ThrIssuer,ThrIssuer/$AG86,1),IF($AH86&gt;IFERROR(VLOOKUP($F86,CountryThr,2,FALSE),DefThrCountry),IFERROR(VLOOKUP($F86,CountryThr,2,FALSE),DefThrCountry)/$AH86,1),IF($AI86&gt;IFERROR(VLOOKUP($D86,LVTable,3,FALSE),DefThrAsset),IFERROR(VLOOKUP($D86,LVTable,3,FALSE),DefThrAsset)/$AI86,1))))</f>
        <v/>
      </c>
      <c r="AK86" s="33">
        <f>IF($B86="","",$AE86*$AJ86)</f>
        <v/>
      </c>
    </row>
    <row r="87">
      <c r="A87" s="16">
        <f>IF($B87="","",ROW()-4)</f>
        <v/>
      </c>
      <c r="B87" s="20" t="n"/>
      <c r="C87" s="20" t="n"/>
      <c r="D87" s="20" t="n"/>
      <c r="E87" s="20" t="n"/>
      <c r="F87" s="20" t="n"/>
      <c r="G87" s="20" t="n"/>
      <c r="H87" s="30" t="n"/>
      <c r="I87" s="30" t="n"/>
      <c r="J87" s="30" t="n"/>
      <c r="K87" s="31">
        <f>IF($B87="","",IF(ISNUMBER($J87),$J87,$I87))</f>
        <v/>
      </c>
      <c r="L87" s="32">
        <f>IF($B87="","",IFERROR(VLOOKUP($G87,FXRates,4,FALSE),1))</f>
        <v/>
      </c>
      <c r="M87" s="33">
        <f>IF($B87="","",$H87*$K87*$L87)</f>
        <v/>
      </c>
      <c r="N87" s="21" t="n"/>
      <c r="O87" s="14">
        <f>IF($B87="","",IF($D87=CashLabel,IF(ISNUMBER($N87),$N87,1),MIN(IF(ISNUMBER($N87),$N87,IFERROR(VLOOKUP($D87,LVTable,2,FALSE),0)),LVCap)))</f>
        <v/>
      </c>
      <c r="P87" s="25">
        <f>IF($B87="","",$M87*$O87)</f>
        <v/>
      </c>
      <c r="Q87" s="16">
        <f>IF($B87="","",IFERROR(VLOOKUP($G87,FXRates,5,FALSE),$G87))</f>
        <v/>
      </c>
      <c r="R87" s="14">
        <f>IF($B87="","",IF($D87=CashLabel,"",SUMIFS($P$5:$P$204,$B$5:$B$204,$B87,$D$5:$D$204,"&lt;&gt;"&amp;CashLabel)/ConcDenom))</f>
        <v/>
      </c>
      <c r="S87" s="14">
        <f>IF($B87="","",IF($D87=CashLabel,"",SUMIFS($P$5:$P$204,$E$5:$E$204,$E87,$D$5:$D$204,"&lt;&gt;"&amp;CashLabel)/ConcDenom))</f>
        <v/>
      </c>
      <c r="T87" s="14">
        <f>IF($B87="","",IF($D87=CashLabel,"",SUMIFS($P$5:$P$204,$F$5:$F$204,$F87,$D$5:$D$204,"&lt;&gt;"&amp;CashLabel)/ConcDenom))</f>
        <v/>
      </c>
      <c r="U87" s="14">
        <f>IF($B87="","",IF($D87=CashLabel,"",SUMIFS($P$5:$P$204,$D$5:$D$204,$D87,$D$5:$D$204,"&lt;&gt;"&amp;CashLabel)/ConcDenom))</f>
        <v/>
      </c>
      <c r="V87" s="15">
        <f>IF($B87="","",IF($D87=CashLabel,1,IF($R87&gt;ThrSingle,ThrSingle/$R87,1)))</f>
        <v/>
      </c>
      <c r="W87" s="15">
        <f>IF($B87="","",IF($D87=CashLabel,1,IF($S87&gt;ThrIssuer,ThrIssuer/$S87,1)))</f>
        <v/>
      </c>
      <c r="X87" s="15">
        <f>IF($B87="","",IF($D87=CashLabel,1,IF($T87&gt;IFERROR(VLOOKUP($F87,CountryThr,2,FALSE),DefThrCountry),IFERROR(VLOOKUP($F87,CountryThr,2,FALSE),DefThrCountry)/$T87,1)))</f>
        <v/>
      </c>
      <c r="Y87" s="15">
        <f>IF($B87="","",IF($D87=CashLabel,1,IF($U87&gt;IFERROR(VLOOKUP($D87,LVTable,3,FALSE),DefThrAsset),IFERROR(VLOOKUP($D87,LVTable,3,FALSE),DefThrAsset)/$U87,1)))</f>
        <v/>
      </c>
      <c r="Z87" s="34">
        <f>IF($B87="","",IF($D87=CashLabel,1,MIN($V87:$Y87)))</f>
        <v/>
      </c>
      <c r="AA87" s="25">
        <f>IF($B87="","",$P87*$Z87)</f>
        <v/>
      </c>
      <c r="AB87" s="33">
        <f>IF($B87="","",$P87-$AA87)</f>
        <v/>
      </c>
      <c r="AC87" s="21" t="n"/>
      <c r="AD87" s="33">
        <f>IF($B87="","",$M87*(1+IF(ISNUMBER($AC87),$AC87,0)))</f>
        <v/>
      </c>
      <c r="AE87" s="33">
        <f>IF($B87="","",$AD87*$O87)</f>
        <v/>
      </c>
      <c r="AF87" s="14">
        <f>IF($B87="","",IF($D87=CashLabel,"",SUMIFS($AE$5:$AE$204,$B$5:$B$204,$B87,$D$5:$D$204,"&lt;&gt;"&amp;CashLabel)/ConcDenomStr))</f>
        <v/>
      </c>
      <c r="AG87" s="14">
        <f>IF($B87="","",IF($D87=CashLabel,"",SUMIFS($AE$5:$AE$204,$E$5:$E$204,$E87,$D$5:$D$204,"&lt;&gt;"&amp;CashLabel)/ConcDenomStr))</f>
        <v/>
      </c>
      <c r="AH87" s="14">
        <f>IF($B87="","",IF($D87=CashLabel,"",SUMIFS($AE$5:$AE$204,$F$5:$F$204,$F87,$D$5:$D$204,"&lt;&gt;"&amp;CashLabel)/ConcDenomStr))</f>
        <v/>
      </c>
      <c r="AI87" s="14">
        <f>IF($B87="","",IF($D87=CashLabel,"",SUMIFS($AE$5:$AE$204,$D$5:$D$204,$D87,$D$5:$D$204,"&lt;&gt;"&amp;CashLabel)/ConcDenomStr))</f>
        <v/>
      </c>
      <c r="AJ87" s="15">
        <f>IF($B87="","",IF($D87=CashLabel,1,MIN(IF($AF87&gt;ThrSingle,ThrSingle/$AF87,1),IF($AG87&gt;ThrIssuer,ThrIssuer/$AG87,1),IF($AH87&gt;IFERROR(VLOOKUP($F87,CountryThr,2,FALSE),DefThrCountry),IFERROR(VLOOKUP($F87,CountryThr,2,FALSE),DefThrCountry)/$AH87,1),IF($AI87&gt;IFERROR(VLOOKUP($D87,LVTable,3,FALSE),DefThrAsset),IFERROR(VLOOKUP($D87,LVTable,3,FALSE),DefThrAsset)/$AI87,1))))</f>
        <v/>
      </c>
      <c r="AK87" s="33">
        <f>IF($B87="","",$AE87*$AJ87)</f>
        <v/>
      </c>
    </row>
    <row r="88">
      <c r="A88" s="16">
        <f>IF($B88="","",ROW()-4)</f>
        <v/>
      </c>
      <c r="B88" s="20" t="n"/>
      <c r="C88" s="20" t="n"/>
      <c r="D88" s="20" t="n"/>
      <c r="E88" s="20" t="n"/>
      <c r="F88" s="20" t="n"/>
      <c r="G88" s="20" t="n"/>
      <c r="H88" s="30" t="n"/>
      <c r="I88" s="30" t="n"/>
      <c r="J88" s="30" t="n"/>
      <c r="K88" s="31">
        <f>IF($B88="","",IF(ISNUMBER($J88),$J88,$I88))</f>
        <v/>
      </c>
      <c r="L88" s="32">
        <f>IF($B88="","",IFERROR(VLOOKUP($G88,FXRates,4,FALSE),1))</f>
        <v/>
      </c>
      <c r="M88" s="33">
        <f>IF($B88="","",$H88*$K88*$L88)</f>
        <v/>
      </c>
      <c r="N88" s="21" t="n"/>
      <c r="O88" s="14">
        <f>IF($B88="","",IF($D88=CashLabel,IF(ISNUMBER($N88),$N88,1),MIN(IF(ISNUMBER($N88),$N88,IFERROR(VLOOKUP($D88,LVTable,2,FALSE),0)),LVCap)))</f>
        <v/>
      </c>
      <c r="P88" s="25">
        <f>IF($B88="","",$M88*$O88)</f>
        <v/>
      </c>
      <c r="Q88" s="16">
        <f>IF($B88="","",IFERROR(VLOOKUP($G88,FXRates,5,FALSE),$G88))</f>
        <v/>
      </c>
      <c r="R88" s="14">
        <f>IF($B88="","",IF($D88=CashLabel,"",SUMIFS($P$5:$P$204,$B$5:$B$204,$B88,$D$5:$D$204,"&lt;&gt;"&amp;CashLabel)/ConcDenom))</f>
        <v/>
      </c>
      <c r="S88" s="14">
        <f>IF($B88="","",IF($D88=CashLabel,"",SUMIFS($P$5:$P$204,$E$5:$E$204,$E88,$D$5:$D$204,"&lt;&gt;"&amp;CashLabel)/ConcDenom))</f>
        <v/>
      </c>
      <c r="T88" s="14">
        <f>IF($B88="","",IF($D88=CashLabel,"",SUMIFS($P$5:$P$204,$F$5:$F$204,$F88,$D$5:$D$204,"&lt;&gt;"&amp;CashLabel)/ConcDenom))</f>
        <v/>
      </c>
      <c r="U88" s="14">
        <f>IF($B88="","",IF($D88=CashLabel,"",SUMIFS($P$5:$P$204,$D$5:$D$204,$D88,$D$5:$D$204,"&lt;&gt;"&amp;CashLabel)/ConcDenom))</f>
        <v/>
      </c>
      <c r="V88" s="15">
        <f>IF($B88="","",IF($D88=CashLabel,1,IF($R88&gt;ThrSingle,ThrSingle/$R88,1)))</f>
        <v/>
      </c>
      <c r="W88" s="15">
        <f>IF($B88="","",IF($D88=CashLabel,1,IF($S88&gt;ThrIssuer,ThrIssuer/$S88,1)))</f>
        <v/>
      </c>
      <c r="X88" s="15">
        <f>IF($B88="","",IF($D88=CashLabel,1,IF($T88&gt;IFERROR(VLOOKUP($F88,CountryThr,2,FALSE),DefThrCountry),IFERROR(VLOOKUP($F88,CountryThr,2,FALSE),DefThrCountry)/$T88,1)))</f>
        <v/>
      </c>
      <c r="Y88" s="15">
        <f>IF($B88="","",IF($D88=CashLabel,1,IF($U88&gt;IFERROR(VLOOKUP($D88,LVTable,3,FALSE),DefThrAsset),IFERROR(VLOOKUP($D88,LVTable,3,FALSE),DefThrAsset)/$U88,1)))</f>
        <v/>
      </c>
      <c r="Z88" s="34">
        <f>IF($B88="","",IF($D88=CashLabel,1,MIN($V88:$Y88)))</f>
        <v/>
      </c>
      <c r="AA88" s="25">
        <f>IF($B88="","",$P88*$Z88)</f>
        <v/>
      </c>
      <c r="AB88" s="33">
        <f>IF($B88="","",$P88-$AA88)</f>
        <v/>
      </c>
      <c r="AC88" s="21" t="n"/>
      <c r="AD88" s="33">
        <f>IF($B88="","",$M88*(1+IF(ISNUMBER($AC88),$AC88,0)))</f>
        <v/>
      </c>
      <c r="AE88" s="33">
        <f>IF($B88="","",$AD88*$O88)</f>
        <v/>
      </c>
      <c r="AF88" s="14">
        <f>IF($B88="","",IF($D88=CashLabel,"",SUMIFS($AE$5:$AE$204,$B$5:$B$204,$B88,$D$5:$D$204,"&lt;&gt;"&amp;CashLabel)/ConcDenomStr))</f>
        <v/>
      </c>
      <c r="AG88" s="14">
        <f>IF($B88="","",IF($D88=CashLabel,"",SUMIFS($AE$5:$AE$204,$E$5:$E$204,$E88,$D$5:$D$204,"&lt;&gt;"&amp;CashLabel)/ConcDenomStr))</f>
        <v/>
      </c>
      <c r="AH88" s="14">
        <f>IF($B88="","",IF($D88=CashLabel,"",SUMIFS($AE$5:$AE$204,$F$5:$F$204,$F88,$D$5:$D$204,"&lt;&gt;"&amp;CashLabel)/ConcDenomStr))</f>
        <v/>
      </c>
      <c r="AI88" s="14">
        <f>IF($B88="","",IF($D88=CashLabel,"",SUMIFS($AE$5:$AE$204,$D$5:$D$204,$D88,$D$5:$D$204,"&lt;&gt;"&amp;CashLabel)/ConcDenomStr))</f>
        <v/>
      </c>
      <c r="AJ88" s="15">
        <f>IF($B88="","",IF($D88=CashLabel,1,MIN(IF($AF88&gt;ThrSingle,ThrSingle/$AF88,1),IF($AG88&gt;ThrIssuer,ThrIssuer/$AG88,1),IF($AH88&gt;IFERROR(VLOOKUP($F88,CountryThr,2,FALSE),DefThrCountry),IFERROR(VLOOKUP($F88,CountryThr,2,FALSE),DefThrCountry)/$AH88,1),IF($AI88&gt;IFERROR(VLOOKUP($D88,LVTable,3,FALSE),DefThrAsset),IFERROR(VLOOKUP($D88,LVTable,3,FALSE),DefThrAsset)/$AI88,1))))</f>
        <v/>
      </c>
      <c r="AK88" s="33">
        <f>IF($B88="","",$AE88*$AJ88)</f>
        <v/>
      </c>
    </row>
    <row r="89">
      <c r="A89" s="16">
        <f>IF($B89="","",ROW()-4)</f>
        <v/>
      </c>
      <c r="B89" s="20" t="n"/>
      <c r="C89" s="20" t="n"/>
      <c r="D89" s="20" t="n"/>
      <c r="E89" s="20" t="n"/>
      <c r="F89" s="20" t="n"/>
      <c r="G89" s="20" t="n"/>
      <c r="H89" s="30" t="n"/>
      <c r="I89" s="30" t="n"/>
      <c r="J89" s="30" t="n"/>
      <c r="K89" s="31">
        <f>IF($B89="","",IF(ISNUMBER($J89),$J89,$I89))</f>
        <v/>
      </c>
      <c r="L89" s="32">
        <f>IF($B89="","",IFERROR(VLOOKUP($G89,FXRates,4,FALSE),1))</f>
        <v/>
      </c>
      <c r="M89" s="33">
        <f>IF($B89="","",$H89*$K89*$L89)</f>
        <v/>
      </c>
      <c r="N89" s="21" t="n"/>
      <c r="O89" s="14">
        <f>IF($B89="","",IF($D89=CashLabel,IF(ISNUMBER($N89),$N89,1),MIN(IF(ISNUMBER($N89),$N89,IFERROR(VLOOKUP($D89,LVTable,2,FALSE),0)),LVCap)))</f>
        <v/>
      </c>
      <c r="P89" s="25">
        <f>IF($B89="","",$M89*$O89)</f>
        <v/>
      </c>
      <c r="Q89" s="16">
        <f>IF($B89="","",IFERROR(VLOOKUP($G89,FXRates,5,FALSE),$G89))</f>
        <v/>
      </c>
      <c r="R89" s="14">
        <f>IF($B89="","",IF($D89=CashLabel,"",SUMIFS($P$5:$P$204,$B$5:$B$204,$B89,$D$5:$D$204,"&lt;&gt;"&amp;CashLabel)/ConcDenom))</f>
        <v/>
      </c>
      <c r="S89" s="14">
        <f>IF($B89="","",IF($D89=CashLabel,"",SUMIFS($P$5:$P$204,$E$5:$E$204,$E89,$D$5:$D$204,"&lt;&gt;"&amp;CashLabel)/ConcDenom))</f>
        <v/>
      </c>
      <c r="T89" s="14">
        <f>IF($B89="","",IF($D89=CashLabel,"",SUMIFS($P$5:$P$204,$F$5:$F$204,$F89,$D$5:$D$204,"&lt;&gt;"&amp;CashLabel)/ConcDenom))</f>
        <v/>
      </c>
      <c r="U89" s="14">
        <f>IF($B89="","",IF($D89=CashLabel,"",SUMIFS($P$5:$P$204,$D$5:$D$204,$D89,$D$5:$D$204,"&lt;&gt;"&amp;CashLabel)/ConcDenom))</f>
        <v/>
      </c>
      <c r="V89" s="15">
        <f>IF($B89="","",IF($D89=CashLabel,1,IF($R89&gt;ThrSingle,ThrSingle/$R89,1)))</f>
        <v/>
      </c>
      <c r="W89" s="15">
        <f>IF($B89="","",IF($D89=CashLabel,1,IF($S89&gt;ThrIssuer,ThrIssuer/$S89,1)))</f>
        <v/>
      </c>
      <c r="X89" s="15">
        <f>IF($B89="","",IF($D89=CashLabel,1,IF($T89&gt;IFERROR(VLOOKUP($F89,CountryThr,2,FALSE),DefThrCountry),IFERROR(VLOOKUP($F89,CountryThr,2,FALSE),DefThrCountry)/$T89,1)))</f>
        <v/>
      </c>
      <c r="Y89" s="15">
        <f>IF($B89="","",IF($D89=CashLabel,1,IF($U89&gt;IFERROR(VLOOKUP($D89,LVTable,3,FALSE),DefThrAsset),IFERROR(VLOOKUP($D89,LVTable,3,FALSE),DefThrAsset)/$U89,1)))</f>
        <v/>
      </c>
      <c r="Z89" s="34">
        <f>IF($B89="","",IF($D89=CashLabel,1,MIN($V89:$Y89)))</f>
        <v/>
      </c>
      <c r="AA89" s="25">
        <f>IF($B89="","",$P89*$Z89)</f>
        <v/>
      </c>
      <c r="AB89" s="33">
        <f>IF($B89="","",$P89-$AA89)</f>
        <v/>
      </c>
      <c r="AC89" s="21" t="n"/>
      <c r="AD89" s="33">
        <f>IF($B89="","",$M89*(1+IF(ISNUMBER($AC89),$AC89,0)))</f>
        <v/>
      </c>
      <c r="AE89" s="33">
        <f>IF($B89="","",$AD89*$O89)</f>
        <v/>
      </c>
      <c r="AF89" s="14">
        <f>IF($B89="","",IF($D89=CashLabel,"",SUMIFS($AE$5:$AE$204,$B$5:$B$204,$B89,$D$5:$D$204,"&lt;&gt;"&amp;CashLabel)/ConcDenomStr))</f>
        <v/>
      </c>
      <c r="AG89" s="14">
        <f>IF($B89="","",IF($D89=CashLabel,"",SUMIFS($AE$5:$AE$204,$E$5:$E$204,$E89,$D$5:$D$204,"&lt;&gt;"&amp;CashLabel)/ConcDenomStr))</f>
        <v/>
      </c>
      <c r="AH89" s="14">
        <f>IF($B89="","",IF($D89=CashLabel,"",SUMIFS($AE$5:$AE$204,$F$5:$F$204,$F89,$D$5:$D$204,"&lt;&gt;"&amp;CashLabel)/ConcDenomStr))</f>
        <v/>
      </c>
      <c r="AI89" s="14">
        <f>IF($B89="","",IF($D89=CashLabel,"",SUMIFS($AE$5:$AE$204,$D$5:$D$204,$D89,$D$5:$D$204,"&lt;&gt;"&amp;CashLabel)/ConcDenomStr))</f>
        <v/>
      </c>
      <c r="AJ89" s="15">
        <f>IF($B89="","",IF($D89=CashLabel,1,MIN(IF($AF89&gt;ThrSingle,ThrSingle/$AF89,1),IF($AG89&gt;ThrIssuer,ThrIssuer/$AG89,1),IF($AH89&gt;IFERROR(VLOOKUP($F89,CountryThr,2,FALSE),DefThrCountry),IFERROR(VLOOKUP($F89,CountryThr,2,FALSE),DefThrCountry)/$AH89,1),IF($AI89&gt;IFERROR(VLOOKUP($D89,LVTable,3,FALSE),DefThrAsset),IFERROR(VLOOKUP($D89,LVTable,3,FALSE),DefThrAsset)/$AI89,1))))</f>
        <v/>
      </c>
      <c r="AK89" s="33">
        <f>IF($B89="","",$AE89*$AJ89)</f>
        <v/>
      </c>
    </row>
    <row r="90">
      <c r="A90" s="16">
        <f>IF($B90="","",ROW()-4)</f>
        <v/>
      </c>
      <c r="B90" s="20" t="n"/>
      <c r="C90" s="20" t="n"/>
      <c r="D90" s="20" t="n"/>
      <c r="E90" s="20" t="n"/>
      <c r="F90" s="20" t="n"/>
      <c r="G90" s="20" t="n"/>
      <c r="H90" s="30" t="n"/>
      <c r="I90" s="30" t="n"/>
      <c r="J90" s="30" t="n"/>
      <c r="K90" s="31">
        <f>IF($B90="","",IF(ISNUMBER($J90),$J90,$I90))</f>
        <v/>
      </c>
      <c r="L90" s="32">
        <f>IF($B90="","",IFERROR(VLOOKUP($G90,FXRates,4,FALSE),1))</f>
        <v/>
      </c>
      <c r="M90" s="33">
        <f>IF($B90="","",$H90*$K90*$L90)</f>
        <v/>
      </c>
      <c r="N90" s="21" t="n"/>
      <c r="O90" s="14">
        <f>IF($B90="","",IF($D90=CashLabel,IF(ISNUMBER($N90),$N90,1),MIN(IF(ISNUMBER($N90),$N90,IFERROR(VLOOKUP($D90,LVTable,2,FALSE),0)),LVCap)))</f>
        <v/>
      </c>
      <c r="P90" s="25">
        <f>IF($B90="","",$M90*$O90)</f>
        <v/>
      </c>
      <c r="Q90" s="16">
        <f>IF($B90="","",IFERROR(VLOOKUP($G90,FXRates,5,FALSE),$G90))</f>
        <v/>
      </c>
      <c r="R90" s="14">
        <f>IF($B90="","",IF($D90=CashLabel,"",SUMIFS($P$5:$P$204,$B$5:$B$204,$B90,$D$5:$D$204,"&lt;&gt;"&amp;CashLabel)/ConcDenom))</f>
        <v/>
      </c>
      <c r="S90" s="14">
        <f>IF($B90="","",IF($D90=CashLabel,"",SUMIFS($P$5:$P$204,$E$5:$E$204,$E90,$D$5:$D$204,"&lt;&gt;"&amp;CashLabel)/ConcDenom))</f>
        <v/>
      </c>
      <c r="T90" s="14">
        <f>IF($B90="","",IF($D90=CashLabel,"",SUMIFS($P$5:$P$204,$F$5:$F$204,$F90,$D$5:$D$204,"&lt;&gt;"&amp;CashLabel)/ConcDenom))</f>
        <v/>
      </c>
      <c r="U90" s="14">
        <f>IF($B90="","",IF($D90=CashLabel,"",SUMIFS($P$5:$P$204,$D$5:$D$204,$D90,$D$5:$D$204,"&lt;&gt;"&amp;CashLabel)/ConcDenom))</f>
        <v/>
      </c>
      <c r="V90" s="15">
        <f>IF($B90="","",IF($D90=CashLabel,1,IF($R90&gt;ThrSingle,ThrSingle/$R90,1)))</f>
        <v/>
      </c>
      <c r="W90" s="15">
        <f>IF($B90="","",IF($D90=CashLabel,1,IF($S90&gt;ThrIssuer,ThrIssuer/$S90,1)))</f>
        <v/>
      </c>
      <c r="X90" s="15">
        <f>IF($B90="","",IF($D90=CashLabel,1,IF($T90&gt;IFERROR(VLOOKUP($F90,CountryThr,2,FALSE),DefThrCountry),IFERROR(VLOOKUP($F90,CountryThr,2,FALSE),DefThrCountry)/$T90,1)))</f>
        <v/>
      </c>
      <c r="Y90" s="15">
        <f>IF($B90="","",IF($D90=CashLabel,1,IF($U90&gt;IFERROR(VLOOKUP($D90,LVTable,3,FALSE),DefThrAsset),IFERROR(VLOOKUP($D90,LVTable,3,FALSE),DefThrAsset)/$U90,1)))</f>
        <v/>
      </c>
      <c r="Z90" s="34">
        <f>IF($B90="","",IF($D90=CashLabel,1,MIN($V90:$Y90)))</f>
        <v/>
      </c>
      <c r="AA90" s="25">
        <f>IF($B90="","",$P90*$Z90)</f>
        <v/>
      </c>
      <c r="AB90" s="33">
        <f>IF($B90="","",$P90-$AA90)</f>
        <v/>
      </c>
      <c r="AC90" s="21" t="n"/>
      <c r="AD90" s="33">
        <f>IF($B90="","",$M90*(1+IF(ISNUMBER($AC90),$AC90,0)))</f>
        <v/>
      </c>
      <c r="AE90" s="33">
        <f>IF($B90="","",$AD90*$O90)</f>
        <v/>
      </c>
      <c r="AF90" s="14">
        <f>IF($B90="","",IF($D90=CashLabel,"",SUMIFS($AE$5:$AE$204,$B$5:$B$204,$B90,$D$5:$D$204,"&lt;&gt;"&amp;CashLabel)/ConcDenomStr))</f>
        <v/>
      </c>
      <c r="AG90" s="14">
        <f>IF($B90="","",IF($D90=CashLabel,"",SUMIFS($AE$5:$AE$204,$E$5:$E$204,$E90,$D$5:$D$204,"&lt;&gt;"&amp;CashLabel)/ConcDenomStr))</f>
        <v/>
      </c>
      <c r="AH90" s="14">
        <f>IF($B90="","",IF($D90=CashLabel,"",SUMIFS($AE$5:$AE$204,$F$5:$F$204,$F90,$D$5:$D$204,"&lt;&gt;"&amp;CashLabel)/ConcDenomStr))</f>
        <v/>
      </c>
      <c r="AI90" s="14">
        <f>IF($B90="","",IF($D90=CashLabel,"",SUMIFS($AE$5:$AE$204,$D$5:$D$204,$D90,$D$5:$D$204,"&lt;&gt;"&amp;CashLabel)/ConcDenomStr))</f>
        <v/>
      </c>
      <c r="AJ90" s="15">
        <f>IF($B90="","",IF($D90=CashLabel,1,MIN(IF($AF90&gt;ThrSingle,ThrSingle/$AF90,1),IF($AG90&gt;ThrIssuer,ThrIssuer/$AG90,1),IF($AH90&gt;IFERROR(VLOOKUP($F90,CountryThr,2,FALSE),DefThrCountry),IFERROR(VLOOKUP($F90,CountryThr,2,FALSE),DefThrCountry)/$AH90,1),IF($AI90&gt;IFERROR(VLOOKUP($D90,LVTable,3,FALSE),DefThrAsset),IFERROR(VLOOKUP($D90,LVTable,3,FALSE),DefThrAsset)/$AI90,1))))</f>
        <v/>
      </c>
      <c r="AK90" s="33">
        <f>IF($B90="","",$AE90*$AJ90)</f>
        <v/>
      </c>
    </row>
    <row r="91">
      <c r="A91" s="16">
        <f>IF($B91="","",ROW()-4)</f>
        <v/>
      </c>
      <c r="B91" s="20" t="n"/>
      <c r="C91" s="20" t="n"/>
      <c r="D91" s="20" t="n"/>
      <c r="E91" s="20" t="n"/>
      <c r="F91" s="20" t="n"/>
      <c r="G91" s="20" t="n"/>
      <c r="H91" s="30" t="n"/>
      <c r="I91" s="30" t="n"/>
      <c r="J91" s="30" t="n"/>
      <c r="K91" s="31">
        <f>IF($B91="","",IF(ISNUMBER($J91),$J91,$I91))</f>
        <v/>
      </c>
      <c r="L91" s="32">
        <f>IF($B91="","",IFERROR(VLOOKUP($G91,FXRates,4,FALSE),1))</f>
        <v/>
      </c>
      <c r="M91" s="33">
        <f>IF($B91="","",$H91*$K91*$L91)</f>
        <v/>
      </c>
      <c r="N91" s="21" t="n"/>
      <c r="O91" s="14">
        <f>IF($B91="","",IF($D91=CashLabel,IF(ISNUMBER($N91),$N91,1),MIN(IF(ISNUMBER($N91),$N91,IFERROR(VLOOKUP($D91,LVTable,2,FALSE),0)),LVCap)))</f>
        <v/>
      </c>
      <c r="P91" s="25">
        <f>IF($B91="","",$M91*$O91)</f>
        <v/>
      </c>
      <c r="Q91" s="16">
        <f>IF($B91="","",IFERROR(VLOOKUP($G91,FXRates,5,FALSE),$G91))</f>
        <v/>
      </c>
      <c r="R91" s="14">
        <f>IF($B91="","",IF($D91=CashLabel,"",SUMIFS($P$5:$P$204,$B$5:$B$204,$B91,$D$5:$D$204,"&lt;&gt;"&amp;CashLabel)/ConcDenom))</f>
        <v/>
      </c>
      <c r="S91" s="14">
        <f>IF($B91="","",IF($D91=CashLabel,"",SUMIFS($P$5:$P$204,$E$5:$E$204,$E91,$D$5:$D$204,"&lt;&gt;"&amp;CashLabel)/ConcDenom))</f>
        <v/>
      </c>
      <c r="T91" s="14">
        <f>IF($B91="","",IF($D91=CashLabel,"",SUMIFS($P$5:$P$204,$F$5:$F$204,$F91,$D$5:$D$204,"&lt;&gt;"&amp;CashLabel)/ConcDenom))</f>
        <v/>
      </c>
      <c r="U91" s="14">
        <f>IF($B91="","",IF($D91=CashLabel,"",SUMIFS($P$5:$P$204,$D$5:$D$204,$D91,$D$5:$D$204,"&lt;&gt;"&amp;CashLabel)/ConcDenom))</f>
        <v/>
      </c>
      <c r="V91" s="15">
        <f>IF($B91="","",IF($D91=CashLabel,1,IF($R91&gt;ThrSingle,ThrSingle/$R91,1)))</f>
        <v/>
      </c>
      <c r="W91" s="15">
        <f>IF($B91="","",IF($D91=CashLabel,1,IF($S91&gt;ThrIssuer,ThrIssuer/$S91,1)))</f>
        <v/>
      </c>
      <c r="X91" s="15">
        <f>IF($B91="","",IF($D91=CashLabel,1,IF($T91&gt;IFERROR(VLOOKUP($F91,CountryThr,2,FALSE),DefThrCountry),IFERROR(VLOOKUP($F91,CountryThr,2,FALSE),DefThrCountry)/$T91,1)))</f>
        <v/>
      </c>
      <c r="Y91" s="15">
        <f>IF($B91="","",IF($D91=CashLabel,1,IF($U91&gt;IFERROR(VLOOKUP($D91,LVTable,3,FALSE),DefThrAsset),IFERROR(VLOOKUP($D91,LVTable,3,FALSE),DefThrAsset)/$U91,1)))</f>
        <v/>
      </c>
      <c r="Z91" s="34">
        <f>IF($B91="","",IF($D91=CashLabel,1,MIN($V91:$Y91)))</f>
        <v/>
      </c>
      <c r="AA91" s="25">
        <f>IF($B91="","",$P91*$Z91)</f>
        <v/>
      </c>
      <c r="AB91" s="33">
        <f>IF($B91="","",$P91-$AA91)</f>
        <v/>
      </c>
      <c r="AC91" s="21" t="n"/>
      <c r="AD91" s="33">
        <f>IF($B91="","",$M91*(1+IF(ISNUMBER($AC91),$AC91,0)))</f>
        <v/>
      </c>
      <c r="AE91" s="33">
        <f>IF($B91="","",$AD91*$O91)</f>
        <v/>
      </c>
      <c r="AF91" s="14">
        <f>IF($B91="","",IF($D91=CashLabel,"",SUMIFS($AE$5:$AE$204,$B$5:$B$204,$B91,$D$5:$D$204,"&lt;&gt;"&amp;CashLabel)/ConcDenomStr))</f>
        <v/>
      </c>
      <c r="AG91" s="14">
        <f>IF($B91="","",IF($D91=CashLabel,"",SUMIFS($AE$5:$AE$204,$E$5:$E$204,$E91,$D$5:$D$204,"&lt;&gt;"&amp;CashLabel)/ConcDenomStr))</f>
        <v/>
      </c>
      <c r="AH91" s="14">
        <f>IF($B91="","",IF($D91=CashLabel,"",SUMIFS($AE$5:$AE$204,$F$5:$F$204,$F91,$D$5:$D$204,"&lt;&gt;"&amp;CashLabel)/ConcDenomStr))</f>
        <v/>
      </c>
      <c r="AI91" s="14">
        <f>IF($B91="","",IF($D91=CashLabel,"",SUMIFS($AE$5:$AE$204,$D$5:$D$204,$D91,$D$5:$D$204,"&lt;&gt;"&amp;CashLabel)/ConcDenomStr))</f>
        <v/>
      </c>
      <c r="AJ91" s="15">
        <f>IF($B91="","",IF($D91=CashLabel,1,MIN(IF($AF91&gt;ThrSingle,ThrSingle/$AF91,1),IF($AG91&gt;ThrIssuer,ThrIssuer/$AG91,1),IF($AH91&gt;IFERROR(VLOOKUP($F91,CountryThr,2,FALSE),DefThrCountry),IFERROR(VLOOKUP($F91,CountryThr,2,FALSE),DefThrCountry)/$AH91,1),IF($AI91&gt;IFERROR(VLOOKUP($D91,LVTable,3,FALSE),DefThrAsset),IFERROR(VLOOKUP($D91,LVTable,3,FALSE),DefThrAsset)/$AI91,1))))</f>
        <v/>
      </c>
      <c r="AK91" s="33">
        <f>IF($B91="","",$AE91*$AJ91)</f>
        <v/>
      </c>
    </row>
    <row r="92">
      <c r="A92" s="16">
        <f>IF($B92="","",ROW()-4)</f>
        <v/>
      </c>
      <c r="B92" s="20" t="n"/>
      <c r="C92" s="20" t="n"/>
      <c r="D92" s="20" t="n"/>
      <c r="E92" s="20" t="n"/>
      <c r="F92" s="20" t="n"/>
      <c r="G92" s="20" t="n"/>
      <c r="H92" s="30" t="n"/>
      <c r="I92" s="30" t="n"/>
      <c r="J92" s="30" t="n"/>
      <c r="K92" s="31">
        <f>IF($B92="","",IF(ISNUMBER($J92),$J92,$I92))</f>
        <v/>
      </c>
      <c r="L92" s="32">
        <f>IF($B92="","",IFERROR(VLOOKUP($G92,FXRates,4,FALSE),1))</f>
        <v/>
      </c>
      <c r="M92" s="33">
        <f>IF($B92="","",$H92*$K92*$L92)</f>
        <v/>
      </c>
      <c r="N92" s="21" t="n"/>
      <c r="O92" s="14">
        <f>IF($B92="","",IF($D92=CashLabel,IF(ISNUMBER($N92),$N92,1),MIN(IF(ISNUMBER($N92),$N92,IFERROR(VLOOKUP($D92,LVTable,2,FALSE),0)),LVCap)))</f>
        <v/>
      </c>
      <c r="P92" s="25">
        <f>IF($B92="","",$M92*$O92)</f>
        <v/>
      </c>
      <c r="Q92" s="16">
        <f>IF($B92="","",IFERROR(VLOOKUP($G92,FXRates,5,FALSE),$G92))</f>
        <v/>
      </c>
      <c r="R92" s="14">
        <f>IF($B92="","",IF($D92=CashLabel,"",SUMIFS($P$5:$P$204,$B$5:$B$204,$B92,$D$5:$D$204,"&lt;&gt;"&amp;CashLabel)/ConcDenom))</f>
        <v/>
      </c>
      <c r="S92" s="14">
        <f>IF($B92="","",IF($D92=CashLabel,"",SUMIFS($P$5:$P$204,$E$5:$E$204,$E92,$D$5:$D$204,"&lt;&gt;"&amp;CashLabel)/ConcDenom))</f>
        <v/>
      </c>
      <c r="T92" s="14">
        <f>IF($B92="","",IF($D92=CashLabel,"",SUMIFS($P$5:$P$204,$F$5:$F$204,$F92,$D$5:$D$204,"&lt;&gt;"&amp;CashLabel)/ConcDenom))</f>
        <v/>
      </c>
      <c r="U92" s="14">
        <f>IF($B92="","",IF($D92=CashLabel,"",SUMIFS($P$5:$P$204,$D$5:$D$204,$D92,$D$5:$D$204,"&lt;&gt;"&amp;CashLabel)/ConcDenom))</f>
        <v/>
      </c>
      <c r="V92" s="15">
        <f>IF($B92="","",IF($D92=CashLabel,1,IF($R92&gt;ThrSingle,ThrSingle/$R92,1)))</f>
        <v/>
      </c>
      <c r="W92" s="15">
        <f>IF($B92="","",IF($D92=CashLabel,1,IF($S92&gt;ThrIssuer,ThrIssuer/$S92,1)))</f>
        <v/>
      </c>
      <c r="X92" s="15">
        <f>IF($B92="","",IF($D92=CashLabel,1,IF($T92&gt;IFERROR(VLOOKUP($F92,CountryThr,2,FALSE),DefThrCountry),IFERROR(VLOOKUP($F92,CountryThr,2,FALSE),DefThrCountry)/$T92,1)))</f>
        <v/>
      </c>
      <c r="Y92" s="15">
        <f>IF($B92="","",IF($D92=CashLabel,1,IF($U92&gt;IFERROR(VLOOKUP($D92,LVTable,3,FALSE),DefThrAsset),IFERROR(VLOOKUP($D92,LVTable,3,FALSE),DefThrAsset)/$U92,1)))</f>
        <v/>
      </c>
      <c r="Z92" s="34">
        <f>IF($B92="","",IF($D92=CashLabel,1,MIN($V92:$Y92)))</f>
        <v/>
      </c>
      <c r="AA92" s="25">
        <f>IF($B92="","",$P92*$Z92)</f>
        <v/>
      </c>
      <c r="AB92" s="33">
        <f>IF($B92="","",$P92-$AA92)</f>
        <v/>
      </c>
      <c r="AC92" s="21" t="n"/>
      <c r="AD92" s="33">
        <f>IF($B92="","",$M92*(1+IF(ISNUMBER($AC92),$AC92,0)))</f>
        <v/>
      </c>
      <c r="AE92" s="33">
        <f>IF($B92="","",$AD92*$O92)</f>
        <v/>
      </c>
      <c r="AF92" s="14">
        <f>IF($B92="","",IF($D92=CashLabel,"",SUMIFS($AE$5:$AE$204,$B$5:$B$204,$B92,$D$5:$D$204,"&lt;&gt;"&amp;CashLabel)/ConcDenomStr))</f>
        <v/>
      </c>
      <c r="AG92" s="14">
        <f>IF($B92="","",IF($D92=CashLabel,"",SUMIFS($AE$5:$AE$204,$E$5:$E$204,$E92,$D$5:$D$204,"&lt;&gt;"&amp;CashLabel)/ConcDenomStr))</f>
        <v/>
      </c>
      <c r="AH92" s="14">
        <f>IF($B92="","",IF($D92=CashLabel,"",SUMIFS($AE$5:$AE$204,$F$5:$F$204,$F92,$D$5:$D$204,"&lt;&gt;"&amp;CashLabel)/ConcDenomStr))</f>
        <v/>
      </c>
      <c r="AI92" s="14">
        <f>IF($B92="","",IF($D92=CashLabel,"",SUMIFS($AE$5:$AE$204,$D$5:$D$204,$D92,$D$5:$D$204,"&lt;&gt;"&amp;CashLabel)/ConcDenomStr))</f>
        <v/>
      </c>
      <c r="AJ92" s="15">
        <f>IF($B92="","",IF($D92=CashLabel,1,MIN(IF($AF92&gt;ThrSingle,ThrSingle/$AF92,1),IF($AG92&gt;ThrIssuer,ThrIssuer/$AG92,1),IF($AH92&gt;IFERROR(VLOOKUP($F92,CountryThr,2,FALSE),DefThrCountry),IFERROR(VLOOKUP($F92,CountryThr,2,FALSE),DefThrCountry)/$AH92,1),IF($AI92&gt;IFERROR(VLOOKUP($D92,LVTable,3,FALSE),DefThrAsset),IFERROR(VLOOKUP($D92,LVTable,3,FALSE),DefThrAsset)/$AI92,1))))</f>
        <v/>
      </c>
      <c r="AK92" s="33">
        <f>IF($B92="","",$AE92*$AJ92)</f>
        <v/>
      </c>
    </row>
    <row r="93">
      <c r="A93" s="16">
        <f>IF($B93="","",ROW()-4)</f>
        <v/>
      </c>
      <c r="B93" s="20" t="n"/>
      <c r="C93" s="20" t="n"/>
      <c r="D93" s="20" t="n"/>
      <c r="E93" s="20" t="n"/>
      <c r="F93" s="20" t="n"/>
      <c r="G93" s="20" t="n"/>
      <c r="H93" s="30" t="n"/>
      <c r="I93" s="30" t="n"/>
      <c r="J93" s="30" t="n"/>
      <c r="K93" s="31">
        <f>IF($B93="","",IF(ISNUMBER($J93),$J93,$I93))</f>
        <v/>
      </c>
      <c r="L93" s="32">
        <f>IF($B93="","",IFERROR(VLOOKUP($G93,FXRates,4,FALSE),1))</f>
        <v/>
      </c>
      <c r="M93" s="33">
        <f>IF($B93="","",$H93*$K93*$L93)</f>
        <v/>
      </c>
      <c r="N93" s="21" t="n"/>
      <c r="O93" s="14">
        <f>IF($B93="","",IF($D93=CashLabel,IF(ISNUMBER($N93),$N93,1),MIN(IF(ISNUMBER($N93),$N93,IFERROR(VLOOKUP($D93,LVTable,2,FALSE),0)),LVCap)))</f>
        <v/>
      </c>
      <c r="P93" s="25">
        <f>IF($B93="","",$M93*$O93)</f>
        <v/>
      </c>
      <c r="Q93" s="16">
        <f>IF($B93="","",IFERROR(VLOOKUP($G93,FXRates,5,FALSE),$G93))</f>
        <v/>
      </c>
      <c r="R93" s="14">
        <f>IF($B93="","",IF($D93=CashLabel,"",SUMIFS($P$5:$P$204,$B$5:$B$204,$B93,$D$5:$D$204,"&lt;&gt;"&amp;CashLabel)/ConcDenom))</f>
        <v/>
      </c>
      <c r="S93" s="14">
        <f>IF($B93="","",IF($D93=CashLabel,"",SUMIFS($P$5:$P$204,$E$5:$E$204,$E93,$D$5:$D$204,"&lt;&gt;"&amp;CashLabel)/ConcDenom))</f>
        <v/>
      </c>
      <c r="T93" s="14">
        <f>IF($B93="","",IF($D93=CashLabel,"",SUMIFS($P$5:$P$204,$F$5:$F$204,$F93,$D$5:$D$204,"&lt;&gt;"&amp;CashLabel)/ConcDenom))</f>
        <v/>
      </c>
      <c r="U93" s="14">
        <f>IF($B93="","",IF($D93=CashLabel,"",SUMIFS($P$5:$P$204,$D$5:$D$204,$D93,$D$5:$D$204,"&lt;&gt;"&amp;CashLabel)/ConcDenom))</f>
        <v/>
      </c>
      <c r="V93" s="15">
        <f>IF($B93="","",IF($D93=CashLabel,1,IF($R93&gt;ThrSingle,ThrSingle/$R93,1)))</f>
        <v/>
      </c>
      <c r="W93" s="15">
        <f>IF($B93="","",IF($D93=CashLabel,1,IF($S93&gt;ThrIssuer,ThrIssuer/$S93,1)))</f>
        <v/>
      </c>
      <c r="X93" s="15">
        <f>IF($B93="","",IF($D93=CashLabel,1,IF($T93&gt;IFERROR(VLOOKUP($F93,CountryThr,2,FALSE),DefThrCountry),IFERROR(VLOOKUP($F93,CountryThr,2,FALSE),DefThrCountry)/$T93,1)))</f>
        <v/>
      </c>
      <c r="Y93" s="15">
        <f>IF($B93="","",IF($D93=CashLabel,1,IF($U93&gt;IFERROR(VLOOKUP($D93,LVTable,3,FALSE),DefThrAsset),IFERROR(VLOOKUP($D93,LVTable,3,FALSE),DefThrAsset)/$U93,1)))</f>
        <v/>
      </c>
      <c r="Z93" s="34">
        <f>IF($B93="","",IF($D93=CashLabel,1,MIN($V93:$Y93)))</f>
        <v/>
      </c>
      <c r="AA93" s="25">
        <f>IF($B93="","",$P93*$Z93)</f>
        <v/>
      </c>
      <c r="AB93" s="33">
        <f>IF($B93="","",$P93-$AA93)</f>
        <v/>
      </c>
      <c r="AC93" s="21" t="n"/>
      <c r="AD93" s="33">
        <f>IF($B93="","",$M93*(1+IF(ISNUMBER($AC93),$AC93,0)))</f>
        <v/>
      </c>
      <c r="AE93" s="33">
        <f>IF($B93="","",$AD93*$O93)</f>
        <v/>
      </c>
      <c r="AF93" s="14">
        <f>IF($B93="","",IF($D93=CashLabel,"",SUMIFS($AE$5:$AE$204,$B$5:$B$204,$B93,$D$5:$D$204,"&lt;&gt;"&amp;CashLabel)/ConcDenomStr))</f>
        <v/>
      </c>
      <c r="AG93" s="14">
        <f>IF($B93="","",IF($D93=CashLabel,"",SUMIFS($AE$5:$AE$204,$E$5:$E$204,$E93,$D$5:$D$204,"&lt;&gt;"&amp;CashLabel)/ConcDenomStr))</f>
        <v/>
      </c>
      <c r="AH93" s="14">
        <f>IF($B93="","",IF($D93=CashLabel,"",SUMIFS($AE$5:$AE$204,$F$5:$F$204,$F93,$D$5:$D$204,"&lt;&gt;"&amp;CashLabel)/ConcDenomStr))</f>
        <v/>
      </c>
      <c r="AI93" s="14">
        <f>IF($B93="","",IF($D93=CashLabel,"",SUMIFS($AE$5:$AE$204,$D$5:$D$204,$D93,$D$5:$D$204,"&lt;&gt;"&amp;CashLabel)/ConcDenomStr))</f>
        <v/>
      </c>
      <c r="AJ93" s="15">
        <f>IF($B93="","",IF($D93=CashLabel,1,MIN(IF($AF93&gt;ThrSingle,ThrSingle/$AF93,1),IF($AG93&gt;ThrIssuer,ThrIssuer/$AG93,1),IF($AH93&gt;IFERROR(VLOOKUP($F93,CountryThr,2,FALSE),DefThrCountry),IFERROR(VLOOKUP($F93,CountryThr,2,FALSE),DefThrCountry)/$AH93,1),IF($AI93&gt;IFERROR(VLOOKUP($D93,LVTable,3,FALSE),DefThrAsset),IFERROR(VLOOKUP($D93,LVTable,3,FALSE),DefThrAsset)/$AI93,1))))</f>
        <v/>
      </c>
      <c r="AK93" s="33">
        <f>IF($B93="","",$AE93*$AJ93)</f>
        <v/>
      </c>
    </row>
    <row r="94">
      <c r="A94" s="16">
        <f>IF($B94="","",ROW()-4)</f>
        <v/>
      </c>
      <c r="B94" s="20" t="n"/>
      <c r="C94" s="20" t="n"/>
      <c r="D94" s="20" t="n"/>
      <c r="E94" s="20" t="n"/>
      <c r="F94" s="20" t="n"/>
      <c r="G94" s="20" t="n"/>
      <c r="H94" s="30" t="n"/>
      <c r="I94" s="30" t="n"/>
      <c r="J94" s="30" t="n"/>
      <c r="K94" s="31">
        <f>IF($B94="","",IF(ISNUMBER($J94),$J94,$I94))</f>
        <v/>
      </c>
      <c r="L94" s="32">
        <f>IF($B94="","",IFERROR(VLOOKUP($G94,FXRates,4,FALSE),1))</f>
        <v/>
      </c>
      <c r="M94" s="33">
        <f>IF($B94="","",$H94*$K94*$L94)</f>
        <v/>
      </c>
      <c r="N94" s="21" t="n"/>
      <c r="O94" s="14">
        <f>IF($B94="","",IF($D94=CashLabel,IF(ISNUMBER($N94),$N94,1),MIN(IF(ISNUMBER($N94),$N94,IFERROR(VLOOKUP($D94,LVTable,2,FALSE),0)),LVCap)))</f>
        <v/>
      </c>
      <c r="P94" s="25">
        <f>IF($B94="","",$M94*$O94)</f>
        <v/>
      </c>
      <c r="Q94" s="16">
        <f>IF($B94="","",IFERROR(VLOOKUP($G94,FXRates,5,FALSE),$G94))</f>
        <v/>
      </c>
      <c r="R94" s="14">
        <f>IF($B94="","",IF($D94=CashLabel,"",SUMIFS($P$5:$P$204,$B$5:$B$204,$B94,$D$5:$D$204,"&lt;&gt;"&amp;CashLabel)/ConcDenom))</f>
        <v/>
      </c>
      <c r="S94" s="14">
        <f>IF($B94="","",IF($D94=CashLabel,"",SUMIFS($P$5:$P$204,$E$5:$E$204,$E94,$D$5:$D$204,"&lt;&gt;"&amp;CashLabel)/ConcDenom))</f>
        <v/>
      </c>
      <c r="T94" s="14">
        <f>IF($B94="","",IF($D94=CashLabel,"",SUMIFS($P$5:$P$204,$F$5:$F$204,$F94,$D$5:$D$204,"&lt;&gt;"&amp;CashLabel)/ConcDenom))</f>
        <v/>
      </c>
      <c r="U94" s="14">
        <f>IF($B94="","",IF($D94=CashLabel,"",SUMIFS($P$5:$P$204,$D$5:$D$204,$D94,$D$5:$D$204,"&lt;&gt;"&amp;CashLabel)/ConcDenom))</f>
        <v/>
      </c>
      <c r="V94" s="15">
        <f>IF($B94="","",IF($D94=CashLabel,1,IF($R94&gt;ThrSingle,ThrSingle/$R94,1)))</f>
        <v/>
      </c>
      <c r="W94" s="15">
        <f>IF($B94="","",IF($D94=CashLabel,1,IF($S94&gt;ThrIssuer,ThrIssuer/$S94,1)))</f>
        <v/>
      </c>
      <c r="X94" s="15">
        <f>IF($B94="","",IF($D94=CashLabel,1,IF($T94&gt;IFERROR(VLOOKUP($F94,CountryThr,2,FALSE),DefThrCountry),IFERROR(VLOOKUP($F94,CountryThr,2,FALSE),DefThrCountry)/$T94,1)))</f>
        <v/>
      </c>
      <c r="Y94" s="15">
        <f>IF($B94="","",IF($D94=CashLabel,1,IF($U94&gt;IFERROR(VLOOKUP($D94,LVTable,3,FALSE),DefThrAsset),IFERROR(VLOOKUP($D94,LVTable,3,FALSE),DefThrAsset)/$U94,1)))</f>
        <v/>
      </c>
      <c r="Z94" s="34">
        <f>IF($B94="","",IF($D94=CashLabel,1,MIN($V94:$Y94)))</f>
        <v/>
      </c>
      <c r="AA94" s="25">
        <f>IF($B94="","",$P94*$Z94)</f>
        <v/>
      </c>
      <c r="AB94" s="33">
        <f>IF($B94="","",$P94-$AA94)</f>
        <v/>
      </c>
      <c r="AC94" s="21" t="n"/>
      <c r="AD94" s="33">
        <f>IF($B94="","",$M94*(1+IF(ISNUMBER($AC94),$AC94,0)))</f>
        <v/>
      </c>
      <c r="AE94" s="33">
        <f>IF($B94="","",$AD94*$O94)</f>
        <v/>
      </c>
      <c r="AF94" s="14">
        <f>IF($B94="","",IF($D94=CashLabel,"",SUMIFS($AE$5:$AE$204,$B$5:$B$204,$B94,$D$5:$D$204,"&lt;&gt;"&amp;CashLabel)/ConcDenomStr))</f>
        <v/>
      </c>
      <c r="AG94" s="14">
        <f>IF($B94="","",IF($D94=CashLabel,"",SUMIFS($AE$5:$AE$204,$E$5:$E$204,$E94,$D$5:$D$204,"&lt;&gt;"&amp;CashLabel)/ConcDenomStr))</f>
        <v/>
      </c>
      <c r="AH94" s="14">
        <f>IF($B94="","",IF($D94=CashLabel,"",SUMIFS($AE$5:$AE$204,$F$5:$F$204,$F94,$D$5:$D$204,"&lt;&gt;"&amp;CashLabel)/ConcDenomStr))</f>
        <v/>
      </c>
      <c r="AI94" s="14">
        <f>IF($B94="","",IF($D94=CashLabel,"",SUMIFS($AE$5:$AE$204,$D$5:$D$204,$D94,$D$5:$D$204,"&lt;&gt;"&amp;CashLabel)/ConcDenomStr))</f>
        <v/>
      </c>
      <c r="AJ94" s="15">
        <f>IF($B94="","",IF($D94=CashLabel,1,MIN(IF($AF94&gt;ThrSingle,ThrSingle/$AF94,1),IF($AG94&gt;ThrIssuer,ThrIssuer/$AG94,1),IF($AH94&gt;IFERROR(VLOOKUP($F94,CountryThr,2,FALSE),DefThrCountry),IFERROR(VLOOKUP($F94,CountryThr,2,FALSE),DefThrCountry)/$AH94,1),IF($AI94&gt;IFERROR(VLOOKUP($D94,LVTable,3,FALSE),DefThrAsset),IFERROR(VLOOKUP($D94,LVTable,3,FALSE),DefThrAsset)/$AI94,1))))</f>
        <v/>
      </c>
      <c r="AK94" s="33">
        <f>IF($B94="","",$AE94*$AJ94)</f>
        <v/>
      </c>
    </row>
    <row r="95">
      <c r="A95" s="16">
        <f>IF($B95="","",ROW()-4)</f>
        <v/>
      </c>
      <c r="B95" s="20" t="n"/>
      <c r="C95" s="20" t="n"/>
      <c r="D95" s="20" t="n"/>
      <c r="E95" s="20" t="n"/>
      <c r="F95" s="20" t="n"/>
      <c r="G95" s="20" t="n"/>
      <c r="H95" s="30" t="n"/>
      <c r="I95" s="30" t="n"/>
      <c r="J95" s="30" t="n"/>
      <c r="K95" s="31">
        <f>IF($B95="","",IF(ISNUMBER($J95),$J95,$I95))</f>
        <v/>
      </c>
      <c r="L95" s="32">
        <f>IF($B95="","",IFERROR(VLOOKUP($G95,FXRates,4,FALSE),1))</f>
        <v/>
      </c>
      <c r="M95" s="33">
        <f>IF($B95="","",$H95*$K95*$L95)</f>
        <v/>
      </c>
      <c r="N95" s="21" t="n"/>
      <c r="O95" s="14">
        <f>IF($B95="","",IF($D95=CashLabel,IF(ISNUMBER($N95),$N95,1),MIN(IF(ISNUMBER($N95),$N95,IFERROR(VLOOKUP($D95,LVTable,2,FALSE),0)),LVCap)))</f>
        <v/>
      </c>
      <c r="P95" s="25">
        <f>IF($B95="","",$M95*$O95)</f>
        <v/>
      </c>
      <c r="Q95" s="16">
        <f>IF($B95="","",IFERROR(VLOOKUP($G95,FXRates,5,FALSE),$G95))</f>
        <v/>
      </c>
      <c r="R95" s="14">
        <f>IF($B95="","",IF($D95=CashLabel,"",SUMIFS($P$5:$P$204,$B$5:$B$204,$B95,$D$5:$D$204,"&lt;&gt;"&amp;CashLabel)/ConcDenom))</f>
        <v/>
      </c>
      <c r="S95" s="14">
        <f>IF($B95="","",IF($D95=CashLabel,"",SUMIFS($P$5:$P$204,$E$5:$E$204,$E95,$D$5:$D$204,"&lt;&gt;"&amp;CashLabel)/ConcDenom))</f>
        <v/>
      </c>
      <c r="T95" s="14">
        <f>IF($B95="","",IF($D95=CashLabel,"",SUMIFS($P$5:$P$204,$F$5:$F$204,$F95,$D$5:$D$204,"&lt;&gt;"&amp;CashLabel)/ConcDenom))</f>
        <v/>
      </c>
      <c r="U95" s="14">
        <f>IF($B95="","",IF($D95=CashLabel,"",SUMIFS($P$5:$P$204,$D$5:$D$204,$D95,$D$5:$D$204,"&lt;&gt;"&amp;CashLabel)/ConcDenom))</f>
        <v/>
      </c>
      <c r="V95" s="15">
        <f>IF($B95="","",IF($D95=CashLabel,1,IF($R95&gt;ThrSingle,ThrSingle/$R95,1)))</f>
        <v/>
      </c>
      <c r="W95" s="15">
        <f>IF($B95="","",IF($D95=CashLabel,1,IF($S95&gt;ThrIssuer,ThrIssuer/$S95,1)))</f>
        <v/>
      </c>
      <c r="X95" s="15">
        <f>IF($B95="","",IF($D95=CashLabel,1,IF($T95&gt;IFERROR(VLOOKUP($F95,CountryThr,2,FALSE),DefThrCountry),IFERROR(VLOOKUP($F95,CountryThr,2,FALSE),DefThrCountry)/$T95,1)))</f>
        <v/>
      </c>
      <c r="Y95" s="15">
        <f>IF($B95="","",IF($D95=CashLabel,1,IF($U95&gt;IFERROR(VLOOKUP($D95,LVTable,3,FALSE),DefThrAsset),IFERROR(VLOOKUP($D95,LVTable,3,FALSE),DefThrAsset)/$U95,1)))</f>
        <v/>
      </c>
      <c r="Z95" s="34">
        <f>IF($B95="","",IF($D95=CashLabel,1,MIN($V95:$Y95)))</f>
        <v/>
      </c>
      <c r="AA95" s="25">
        <f>IF($B95="","",$P95*$Z95)</f>
        <v/>
      </c>
      <c r="AB95" s="33">
        <f>IF($B95="","",$P95-$AA95)</f>
        <v/>
      </c>
      <c r="AC95" s="21" t="n"/>
      <c r="AD95" s="33">
        <f>IF($B95="","",$M95*(1+IF(ISNUMBER($AC95),$AC95,0)))</f>
        <v/>
      </c>
      <c r="AE95" s="33">
        <f>IF($B95="","",$AD95*$O95)</f>
        <v/>
      </c>
      <c r="AF95" s="14">
        <f>IF($B95="","",IF($D95=CashLabel,"",SUMIFS($AE$5:$AE$204,$B$5:$B$204,$B95,$D$5:$D$204,"&lt;&gt;"&amp;CashLabel)/ConcDenomStr))</f>
        <v/>
      </c>
      <c r="AG95" s="14">
        <f>IF($B95="","",IF($D95=CashLabel,"",SUMIFS($AE$5:$AE$204,$E$5:$E$204,$E95,$D$5:$D$204,"&lt;&gt;"&amp;CashLabel)/ConcDenomStr))</f>
        <v/>
      </c>
      <c r="AH95" s="14">
        <f>IF($B95="","",IF($D95=CashLabel,"",SUMIFS($AE$5:$AE$204,$F$5:$F$204,$F95,$D$5:$D$204,"&lt;&gt;"&amp;CashLabel)/ConcDenomStr))</f>
        <v/>
      </c>
      <c r="AI95" s="14">
        <f>IF($B95="","",IF($D95=CashLabel,"",SUMIFS($AE$5:$AE$204,$D$5:$D$204,$D95,$D$5:$D$204,"&lt;&gt;"&amp;CashLabel)/ConcDenomStr))</f>
        <v/>
      </c>
      <c r="AJ95" s="15">
        <f>IF($B95="","",IF($D95=CashLabel,1,MIN(IF($AF95&gt;ThrSingle,ThrSingle/$AF95,1),IF($AG95&gt;ThrIssuer,ThrIssuer/$AG95,1),IF($AH95&gt;IFERROR(VLOOKUP($F95,CountryThr,2,FALSE),DefThrCountry),IFERROR(VLOOKUP($F95,CountryThr,2,FALSE),DefThrCountry)/$AH95,1),IF($AI95&gt;IFERROR(VLOOKUP($D95,LVTable,3,FALSE),DefThrAsset),IFERROR(VLOOKUP($D95,LVTable,3,FALSE),DefThrAsset)/$AI95,1))))</f>
        <v/>
      </c>
      <c r="AK95" s="33">
        <f>IF($B95="","",$AE95*$AJ95)</f>
        <v/>
      </c>
    </row>
    <row r="96">
      <c r="A96" s="16">
        <f>IF($B96="","",ROW()-4)</f>
        <v/>
      </c>
      <c r="B96" s="20" t="n"/>
      <c r="C96" s="20" t="n"/>
      <c r="D96" s="20" t="n"/>
      <c r="E96" s="20" t="n"/>
      <c r="F96" s="20" t="n"/>
      <c r="G96" s="20" t="n"/>
      <c r="H96" s="30" t="n"/>
      <c r="I96" s="30" t="n"/>
      <c r="J96" s="30" t="n"/>
      <c r="K96" s="31">
        <f>IF($B96="","",IF(ISNUMBER($J96),$J96,$I96))</f>
        <v/>
      </c>
      <c r="L96" s="32">
        <f>IF($B96="","",IFERROR(VLOOKUP($G96,FXRates,4,FALSE),1))</f>
        <v/>
      </c>
      <c r="M96" s="33">
        <f>IF($B96="","",$H96*$K96*$L96)</f>
        <v/>
      </c>
      <c r="N96" s="21" t="n"/>
      <c r="O96" s="14">
        <f>IF($B96="","",IF($D96=CashLabel,IF(ISNUMBER($N96),$N96,1),MIN(IF(ISNUMBER($N96),$N96,IFERROR(VLOOKUP($D96,LVTable,2,FALSE),0)),LVCap)))</f>
        <v/>
      </c>
      <c r="P96" s="25">
        <f>IF($B96="","",$M96*$O96)</f>
        <v/>
      </c>
      <c r="Q96" s="16">
        <f>IF($B96="","",IFERROR(VLOOKUP($G96,FXRates,5,FALSE),$G96))</f>
        <v/>
      </c>
      <c r="R96" s="14">
        <f>IF($B96="","",IF($D96=CashLabel,"",SUMIFS($P$5:$P$204,$B$5:$B$204,$B96,$D$5:$D$204,"&lt;&gt;"&amp;CashLabel)/ConcDenom))</f>
        <v/>
      </c>
      <c r="S96" s="14">
        <f>IF($B96="","",IF($D96=CashLabel,"",SUMIFS($P$5:$P$204,$E$5:$E$204,$E96,$D$5:$D$204,"&lt;&gt;"&amp;CashLabel)/ConcDenom))</f>
        <v/>
      </c>
      <c r="T96" s="14">
        <f>IF($B96="","",IF($D96=CashLabel,"",SUMIFS($P$5:$P$204,$F$5:$F$204,$F96,$D$5:$D$204,"&lt;&gt;"&amp;CashLabel)/ConcDenom))</f>
        <v/>
      </c>
      <c r="U96" s="14">
        <f>IF($B96="","",IF($D96=CashLabel,"",SUMIFS($P$5:$P$204,$D$5:$D$204,$D96,$D$5:$D$204,"&lt;&gt;"&amp;CashLabel)/ConcDenom))</f>
        <v/>
      </c>
      <c r="V96" s="15">
        <f>IF($B96="","",IF($D96=CashLabel,1,IF($R96&gt;ThrSingle,ThrSingle/$R96,1)))</f>
        <v/>
      </c>
      <c r="W96" s="15">
        <f>IF($B96="","",IF($D96=CashLabel,1,IF($S96&gt;ThrIssuer,ThrIssuer/$S96,1)))</f>
        <v/>
      </c>
      <c r="X96" s="15">
        <f>IF($B96="","",IF($D96=CashLabel,1,IF($T96&gt;IFERROR(VLOOKUP($F96,CountryThr,2,FALSE),DefThrCountry),IFERROR(VLOOKUP($F96,CountryThr,2,FALSE),DefThrCountry)/$T96,1)))</f>
        <v/>
      </c>
      <c r="Y96" s="15">
        <f>IF($B96="","",IF($D96=CashLabel,1,IF($U96&gt;IFERROR(VLOOKUP($D96,LVTable,3,FALSE),DefThrAsset),IFERROR(VLOOKUP($D96,LVTable,3,FALSE),DefThrAsset)/$U96,1)))</f>
        <v/>
      </c>
      <c r="Z96" s="34">
        <f>IF($B96="","",IF($D96=CashLabel,1,MIN($V96:$Y96)))</f>
        <v/>
      </c>
      <c r="AA96" s="25">
        <f>IF($B96="","",$P96*$Z96)</f>
        <v/>
      </c>
      <c r="AB96" s="33">
        <f>IF($B96="","",$P96-$AA96)</f>
        <v/>
      </c>
      <c r="AC96" s="21" t="n"/>
      <c r="AD96" s="33">
        <f>IF($B96="","",$M96*(1+IF(ISNUMBER($AC96),$AC96,0)))</f>
        <v/>
      </c>
      <c r="AE96" s="33">
        <f>IF($B96="","",$AD96*$O96)</f>
        <v/>
      </c>
      <c r="AF96" s="14">
        <f>IF($B96="","",IF($D96=CashLabel,"",SUMIFS($AE$5:$AE$204,$B$5:$B$204,$B96,$D$5:$D$204,"&lt;&gt;"&amp;CashLabel)/ConcDenomStr))</f>
        <v/>
      </c>
      <c r="AG96" s="14">
        <f>IF($B96="","",IF($D96=CashLabel,"",SUMIFS($AE$5:$AE$204,$E$5:$E$204,$E96,$D$5:$D$204,"&lt;&gt;"&amp;CashLabel)/ConcDenomStr))</f>
        <v/>
      </c>
      <c r="AH96" s="14">
        <f>IF($B96="","",IF($D96=CashLabel,"",SUMIFS($AE$5:$AE$204,$F$5:$F$204,$F96,$D$5:$D$204,"&lt;&gt;"&amp;CashLabel)/ConcDenomStr))</f>
        <v/>
      </c>
      <c r="AI96" s="14">
        <f>IF($B96="","",IF($D96=CashLabel,"",SUMIFS($AE$5:$AE$204,$D$5:$D$204,$D96,$D$5:$D$204,"&lt;&gt;"&amp;CashLabel)/ConcDenomStr))</f>
        <v/>
      </c>
      <c r="AJ96" s="15">
        <f>IF($B96="","",IF($D96=CashLabel,1,MIN(IF($AF96&gt;ThrSingle,ThrSingle/$AF96,1),IF($AG96&gt;ThrIssuer,ThrIssuer/$AG96,1),IF($AH96&gt;IFERROR(VLOOKUP($F96,CountryThr,2,FALSE),DefThrCountry),IFERROR(VLOOKUP($F96,CountryThr,2,FALSE),DefThrCountry)/$AH96,1),IF($AI96&gt;IFERROR(VLOOKUP($D96,LVTable,3,FALSE),DefThrAsset),IFERROR(VLOOKUP($D96,LVTable,3,FALSE),DefThrAsset)/$AI96,1))))</f>
        <v/>
      </c>
      <c r="AK96" s="33">
        <f>IF($B96="","",$AE96*$AJ96)</f>
        <v/>
      </c>
    </row>
    <row r="97">
      <c r="A97" s="16">
        <f>IF($B97="","",ROW()-4)</f>
        <v/>
      </c>
      <c r="B97" s="20" t="n"/>
      <c r="C97" s="20" t="n"/>
      <c r="D97" s="20" t="n"/>
      <c r="E97" s="20" t="n"/>
      <c r="F97" s="20" t="n"/>
      <c r="G97" s="20" t="n"/>
      <c r="H97" s="30" t="n"/>
      <c r="I97" s="30" t="n"/>
      <c r="J97" s="30" t="n"/>
      <c r="K97" s="31">
        <f>IF($B97="","",IF(ISNUMBER($J97),$J97,$I97))</f>
        <v/>
      </c>
      <c r="L97" s="32">
        <f>IF($B97="","",IFERROR(VLOOKUP($G97,FXRates,4,FALSE),1))</f>
        <v/>
      </c>
      <c r="M97" s="33">
        <f>IF($B97="","",$H97*$K97*$L97)</f>
        <v/>
      </c>
      <c r="N97" s="21" t="n"/>
      <c r="O97" s="14">
        <f>IF($B97="","",IF($D97=CashLabel,IF(ISNUMBER($N97),$N97,1),MIN(IF(ISNUMBER($N97),$N97,IFERROR(VLOOKUP($D97,LVTable,2,FALSE),0)),LVCap)))</f>
        <v/>
      </c>
      <c r="P97" s="25">
        <f>IF($B97="","",$M97*$O97)</f>
        <v/>
      </c>
      <c r="Q97" s="16">
        <f>IF($B97="","",IFERROR(VLOOKUP($G97,FXRates,5,FALSE),$G97))</f>
        <v/>
      </c>
      <c r="R97" s="14">
        <f>IF($B97="","",IF($D97=CashLabel,"",SUMIFS($P$5:$P$204,$B$5:$B$204,$B97,$D$5:$D$204,"&lt;&gt;"&amp;CashLabel)/ConcDenom))</f>
        <v/>
      </c>
      <c r="S97" s="14">
        <f>IF($B97="","",IF($D97=CashLabel,"",SUMIFS($P$5:$P$204,$E$5:$E$204,$E97,$D$5:$D$204,"&lt;&gt;"&amp;CashLabel)/ConcDenom))</f>
        <v/>
      </c>
      <c r="T97" s="14">
        <f>IF($B97="","",IF($D97=CashLabel,"",SUMIFS($P$5:$P$204,$F$5:$F$204,$F97,$D$5:$D$204,"&lt;&gt;"&amp;CashLabel)/ConcDenom))</f>
        <v/>
      </c>
      <c r="U97" s="14">
        <f>IF($B97="","",IF($D97=CashLabel,"",SUMIFS($P$5:$P$204,$D$5:$D$204,$D97,$D$5:$D$204,"&lt;&gt;"&amp;CashLabel)/ConcDenom))</f>
        <v/>
      </c>
      <c r="V97" s="15">
        <f>IF($B97="","",IF($D97=CashLabel,1,IF($R97&gt;ThrSingle,ThrSingle/$R97,1)))</f>
        <v/>
      </c>
      <c r="W97" s="15">
        <f>IF($B97="","",IF($D97=CashLabel,1,IF($S97&gt;ThrIssuer,ThrIssuer/$S97,1)))</f>
        <v/>
      </c>
      <c r="X97" s="15">
        <f>IF($B97="","",IF($D97=CashLabel,1,IF($T97&gt;IFERROR(VLOOKUP($F97,CountryThr,2,FALSE),DefThrCountry),IFERROR(VLOOKUP($F97,CountryThr,2,FALSE),DefThrCountry)/$T97,1)))</f>
        <v/>
      </c>
      <c r="Y97" s="15">
        <f>IF($B97="","",IF($D97=CashLabel,1,IF($U97&gt;IFERROR(VLOOKUP($D97,LVTable,3,FALSE),DefThrAsset),IFERROR(VLOOKUP($D97,LVTable,3,FALSE),DefThrAsset)/$U97,1)))</f>
        <v/>
      </c>
      <c r="Z97" s="34">
        <f>IF($B97="","",IF($D97=CashLabel,1,MIN($V97:$Y97)))</f>
        <v/>
      </c>
      <c r="AA97" s="25">
        <f>IF($B97="","",$P97*$Z97)</f>
        <v/>
      </c>
      <c r="AB97" s="33">
        <f>IF($B97="","",$P97-$AA97)</f>
        <v/>
      </c>
      <c r="AC97" s="21" t="n"/>
      <c r="AD97" s="33">
        <f>IF($B97="","",$M97*(1+IF(ISNUMBER($AC97),$AC97,0)))</f>
        <v/>
      </c>
      <c r="AE97" s="33">
        <f>IF($B97="","",$AD97*$O97)</f>
        <v/>
      </c>
      <c r="AF97" s="14">
        <f>IF($B97="","",IF($D97=CashLabel,"",SUMIFS($AE$5:$AE$204,$B$5:$B$204,$B97,$D$5:$D$204,"&lt;&gt;"&amp;CashLabel)/ConcDenomStr))</f>
        <v/>
      </c>
      <c r="AG97" s="14">
        <f>IF($B97="","",IF($D97=CashLabel,"",SUMIFS($AE$5:$AE$204,$E$5:$E$204,$E97,$D$5:$D$204,"&lt;&gt;"&amp;CashLabel)/ConcDenomStr))</f>
        <v/>
      </c>
      <c r="AH97" s="14">
        <f>IF($B97="","",IF($D97=CashLabel,"",SUMIFS($AE$5:$AE$204,$F$5:$F$204,$F97,$D$5:$D$204,"&lt;&gt;"&amp;CashLabel)/ConcDenomStr))</f>
        <v/>
      </c>
      <c r="AI97" s="14">
        <f>IF($B97="","",IF($D97=CashLabel,"",SUMIFS($AE$5:$AE$204,$D$5:$D$204,$D97,$D$5:$D$204,"&lt;&gt;"&amp;CashLabel)/ConcDenomStr))</f>
        <v/>
      </c>
      <c r="AJ97" s="15">
        <f>IF($B97="","",IF($D97=CashLabel,1,MIN(IF($AF97&gt;ThrSingle,ThrSingle/$AF97,1),IF($AG97&gt;ThrIssuer,ThrIssuer/$AG97,1),IF($AH97&gt;IFERROR(VLOOKUP($F97,CountryThr,2,FALSE),DefThrCountry),IFERROR(VLOOKUP($F97,CountryThr,2,FALSE),DefThrCountry)/$AH97,1),IF($AI97&gt;IFERROR(VLOOKUP($D97,LVTable,3,FALSE),DefThrAsset),IFERROR(VLOOKUP($D97,LVTable,3,FALSE),DefThrAsset)/$AI97,1))))</f>
        <v/>
      </c>
      <c r="AK97" s="33">
        <f>IF($B97="","",$AE97*$AJ97)</f>
        <v/>
      </c>
    </row>
    <row r="98">
      <c r="A98" s="16">
        <f>IF($B98="","",ROW()-4)</f>
        <v/>
      </c>
      <c r="B98" s="20" t="n"/>
      <c r="C98" s="20" t="n"/>
      <c r="D98" s="20" t="n"/>
      <c r="E98" s="20" t="n"/>
      <c r="F98" s="20" t="n"/>
      <c r="G98" s="20" t="n"/>
      <c r="H98" s="30" t="n"/>
      <c r="I98" s="30" t="n"/>
      <c r="J98" s="30" t="n"/>
      <c r="K98" s="31">
        <f>IF($B98="","",IF(ISNUMBER($J98),$J98,$I98))</f>
        <v/>
      </c>
      <c r="L98" s="32">
        <f>IF($B98="","",IFERROR(VLOOKUP($G98,FXRates,4,FALSE),1))</f>
        <v/>
      </c>
      <c r="M98" s="33">
        <f>IF($B98="","",$H98*$K98*$L98)</f>
        <v/>
      </c>
      <c r="N98" s="21" t="n"/>
      <c r="O98" s="14">
        <f>IF($B98="","",IF($D98=CashLabel,IF(ISNUMBER($N98),$N98,1),MIN(IF(ISNUMBER($N98),$N98,IFERROR(VLOOKUP($D98,LVTable,2,FALSE),0)),LVCap)))</f>
        <v/>
      </c>
      <c r="P98" s="25">
        <f>IF($B98="","",$M98*$O98)</f>
        <v/>
      </c>
      <c r="Q98" s="16">
        <f>IF($B98="","",IFERROR(VLOOKUP($G98,FXRates,5,FALSE),$G98))</f>
        <v/>
      </c>
      <c r="R98" s="14">
        <f>IF($B98="","",IF($D98=CashLabel,"",SUMIFS($P$5:$P$204,$B$5:$B$204,$B98,$D$5:$D$204,"&lt;&gt;"&amp;CashLabel)/ConcDenom))</f>
        <v/>
      </c>
      <c r="S98" s="14">
        <f>IF($B98="","",IF($D98=CashLabel,"",SUMIFS($P$5:$P$204,$E$5:$E$204,$E98,$D$5:$D$204,"&lt;&gt;"&amp;CashLabel)/ConcDenom))</f>
        <v/>
      </c>
      <c r="T98" s="14">
        <f>IF($B98="","",IF($D98=CashLabel,"",SUMIFS($P$5:$P$204,$F$5:$F$204,$F98,$D$5:$D$204,"&lt;&gt;"&amp;CashLabel)/ConcDenom))</f>
        <v/>
      </c>
      <c r="U98" s="14">
        <f>IF($B98="","",IF($D98=CashLabel,"",SUMIFS($P$5:$P$204,$D$5:$D$204,$D98,$D$5:$D$204,"&lt;&gt;"&amp;CashLabel)/ConcDenom))</f>
        <v/>
      </c>
      <c r="V98" s="15">
        <f>IF($B98="","",IF($D98=CashLabel,1,IF($R98&gt;ThrSingle,ThrSingle/$R98,1)))</f>
        <v/>
      </c>
      <c r="W98" s="15">
        <f>IF($B98="","",IF($D98=CashLabel,1,IF($S98&gt;ThrIssuer,ThrIssuer/$S98,1)))</f>
        <v/>
      </c>
      <c r="X98" s="15">
        <f>IF($B98="","",IF($D98=CashLabel,1,IF($T98&gt;IFERROR(VLOOKUP($F98,CountryThr,2,FALSE),DefThrCountry),IFERROR(VLOOKUP($F98,CountryThr,2,FALSE),DefThrCountry)/$T98,1)))</f>
        <v/>
      </c>
      <c r="Y98" s="15">
        <f>IF($B98="","",IF($D98=CashLabel,1,IF($U98&gt;IFERROR(VLOOKUP($D98,LVTable,3,FALSE),DefThrAsset),IFERROR(VLOOKUP($D98,LVTable,3,FALSE),DefThrAsset)/$U98,1)))</f>
        <v/>
      </c>
      <c r="Z98" s="34">
        <f>IF($B98="","",IF($D98=CashLabel,1,MIN($V98:$Y98)))</f>
        <v/>
      </c>
      <c r="AA98" s="25">
        <f>IF($B98="","",$P98*$Z98)</f>
        <v/>
      </c>
      <c r="AB98" s="33">
        <f>IF($B98="","",$P98-$AA98)</f>
        <v/>
      </c>
      <c r="AC98" s="21" t="n"/>
      <c r="AD98" s="33">
        <f>IF($B98="","",$M98*(1+IF(ISNUMBER($AC98),$AC98,0)))</f>
        <v/>
      </c>
      <c r="AE98" s="33">
        <f>IF($B98="","",$AD98*$O98)</f>
        <v/>
      </c>
      <c r="AF98" s="14">
        <f>IF($B98="","",IF($D98=CashLabel,"",SUMIFS($AE$5:$AE$204,$B$5:$B$204,$B98,$D$5:$D$204,"&lt;&gt;"&amp;CashLabel)/ConcDenomStr))</f>
        <v/>
      </c>
      <c r="AG98" s="14">
        <f>IF($B98="","",IF($D98=CashLabel,"",SUMIFS($AE$5:$AE$204,$E$5:$E$204,$E98,$D$5:$D$204,"&lt;&gt;"&amp;CashLabel)/ConcDenomStr))</f>
        <v/>
      </c>
      <c r="AH98" s="14">
        <f>IF($B98="","",IF($D98=CashLabel,"",SUMIFS($AE$5:$AE$204,$F$5:$F$204,$F98,$D$5:$D$204,"&lt;&gt;"&amp;CashLabel)/ConcDenomStr))</f>
        <v/>
      </c>
      <c r="AI98" s="14">
        <f>IF($B98="","",IF($D98=CashLabel,"",SUMIFS($AE$5:$AE$204,$D$5:$D$204,$D98,$D$5:$D$204,"&lt;&gt;"&amp;CashLabel)/ConcDenomStr))</f>
        <v/>
      </c>
      <c r="AJ98" s="15">
        <f>IF($B98="","",IF($D98=CashLabel,1,MIN(IF($AF98&gt;ThrSingle,ThrSingle/$AF98,1),IF($AG98&gt;ThrIssuer,ThrIssuer/$AG98,1),IF($AH98&gt;IFERROR(VLOOKUP($F98,CountryThr,2,FALSE),DefThrCountry),IFERROR(VLOOKUP($F98,CountryThr,2,FALSE),DefThrCountry)/$AH98,1),IF($AI98&gt;IFERROR(VLOOKUP($D98,LVTable,3,FALSE),DefThrAsset),IFERROR(VLOOKUP($D98,LVTable,3,FALSE),DefThrAsset)/$AI98,1))))</f>
        <v/>
      </c>
      <c r="AK98" s="33">
        <f>IF($B98="","",$AE98*$AJ98)</f>
        <v/>
      </c>
    </row>
    <row r="99">
      <c r="A99" s="16">
        <f>IF($B99="","",ROW()-4)</f>
        <v/>
      </c>
      <c r="B99" s="20" t="n"/>
      <c r="C99" s="20" t="n"/>
      <c r="D99" s="20" t="n"/>
      <c r="E99" s="20" t="n"/>
      <c r="F99" s="20" t="n"/>
      <c r="G99" s="20" t="n"/>
      <c r="H99" s="30" t="n"/>
      <c r="I99" s="30" t="n"/>
      <c r="J99" s="30" t="n"/>
      <c r="K99" s="31">
        <f>IF($B99="","",IF(ISNUMBER($J99),$J99,$I99))</f>
        <v/>
      </c>
      <c r="L99" s="32">
        <f>IF($B99="","",IFERROR(VLOOKUP($G99,FXRates,4,FALSE),1))</f>
        <v/>
      </c>
      <c r="M99" s="33">
        <f>IF($B99="","",$H99*$K99*$L99)</f>
        <v/>
      </c>
      <c r="N99" s="21" t="n"/>
      <c r="O99" s="14">
        <f>IF($B99="","",IF($D99=CashLabel,IF(ISNUMBER($N99),$N99,1),MIN(IF(ISNUMBER($N99),$N99,IFERROR(VLOOKUP($D99,LVTable,2,FALSE),0)),LVCap)))</f>
        <v/>
      </c>
      <c r="P99" s="25">
        <f>IF($B99="","",$M99*$O99)</f>
        <v/>
      </c>
      <c r="Q99" s="16">
        <f>IF($B99="","",IFERROR(VLOOKUP($G99,FXRates,5,FALSE),$G99))</f>
        <v/>
      </c>
      <c r="R99" s="14">
        <f>IF($B99="","",IF($D99=CashLabel,"",SUMIFS($P$5:$P$204,$B$5:$B$204,$B99,$D$5:$D$204,"&lt;&gt;"&amp;CashLabel)/ConcDenom))</f>
        <v/>
      </c>
      <c r="S99" s="14">
        <f>IF($B99="","",IF($D99=CashLabel,"",SUMIFS($P$5:$P$204,$E$5:$E$204,$E99,$D$5:$D$204,"&lt;&gt;"&amp;CashLabel)/ConcDenom))</f>
        <v/>
      </c>
      <c r="T99" s="14">
        <f>IF($B99="","",IF($D99=CashLabel,"",SUMIFS($P$5:$P$204,$F$5:$F$204,$F99,$D$5:$D$204,"&lt;&gt;"&amp;CashLabel)/ConcDenom))</f>
        <v/>
      </c>
      <c r="U99" s="14">
        <f>IF($B99="","",IF($D99=CashLabel,"",SUMIFS($P$5:$P$204,$D$5:$D$204,$D99,$D$5:$D$204,"&lt;&gt;"&amp;CashLabel)/ConcDenom))</f>
        <v/>
      </c>
      <c r="V99" s="15">
        <f>IF($B99="","",IF($D99=CashLabel,1,IF($R99&gt;ThrSingle,ThrSingle/$R99,1)))</f>
        <v/>
      </c>
      <c r="W99" s="15">
        <f>IF($B99="","",IF($D99=CashLabel,1,IF($S99&gt;ThrIssuer,ThrIssuer/$S99,1)))</f>
        <v/>
      </c>
      <c r="X99" s="15">
        <f>IF($B99="","",IF($D99=CashLabel,1,IF($T99&gt;IFERROR(VLOOKUP($F99,CountryThr,2,FALSE),DefThrCountry),IFERROR(VLOOKUP($F99,CountryThr,2,FALSE),DefThrCountry)/$T99,1)))</f>
        <v/>
      </c>
      <c r="Y99" s="15">
        <f>IF($B99="","",IF($D99=CashLabel,1,IF($U99&gt;IFERROR(VLOOKUP($D99,LVTable,3,FALSE),DefThrAsset),IFERROR(VLOOKUP($D99,LVTable,3,FALSE),DefThrAsset)/$U99,1)))</f>
        <v/>
      </c>
      <c r="Z99" s="34">
        <f>IF($B99="","",IF($D99=CashLabel,1,MIN($V99:$Y99)))</f>
        <v/>
      </c>
      <c r="AA99" s="25">
        <f>IF($B99="","",$P99*$Z99)</f>
        <v/>
      </c>
      <c r="AB99" s="33">
        <f>IF($B99="","",$P99-$AA99)</f>
        <v/>
      </c>
      <c r="AC99" s="21" t="n"/>
      <c r="AD99" s="33">
        <f>IF($B99="","",$M99*(1+IF(ISNUMBER($AC99),$AC99,0)))</f>
        <v/>
      </c>
      <c r="AE99" s="33">
        <f>IF($B99="","",$AD99*$O99)</f>
        <v/>
      </c>
      <c r="AF99" s="14">
        <f>IF($B99="","",IF($D99=CashLabel,"",SUMIFS($AE$5:$AE$204,$B$5:$B$204,$B99,$D$5:$D$204,"&lt;&gt;"&amp;CashLabel)/ConcDenomStr))</f>
        <v/>
      </c>
      <c r="AG99" s="14">
        <f>IF($B99="","",IF($D99=CashLabel,"",SUMIFS($AE$5:$AE$204,$E$5:$E$204,$E99,$D$5:$D$204,"&lt;&gt;"&amp;CashLabel)/ConcDenomStr))</f>
        <v/>
      </c>
      <c r="AH99" s="14">
        <f>IF($B99="","",IF($D99=CashLabel,"",SUMIFS($AE$5:$AE$204,$F$5:$F$204,$F99,$D$5:$D$204,"&lt;&gt;"&amp;CashLabel)/ConcDenomStr))</f>
        <v/>
      </c>
      <c r="AI99" s="14">
        <f>IF($B99="","",IF($D99=CashLabel,"",SUMIFS($AE$5:$AE$204,$D$5:$D$204,$D99,$D$5:$D$204,"&lt;&gt;"&amp;CashLabel)/ConcDenomStr))</f>
        <v/>
      </c>
      <c r="AJ99" s="15">
        <f>IF($B99="","",IF($D99=CashLabel,1,MIN(IF($AF99&gt;ThrSingle,ThrSingle/$AF99,1),IF($AG99&gt;ThrIssuer,ThrIssuer/$AG99,1),IF($AH99&gt;IFERROR(VLOOKUP($F99,CountryThr,2,FALSE),DefThrCountry),IFERROR(VLOOKUP($F99,CountryThr,2,FALSE),DefThrCountry)/$AH99,1),IF($AI99&gt;IFERROR(VLOOKUP($D99,LVTable,3,FALSE),DefThrAsset),IFERROR(VLOOKUP($D99,LVTable,3,FALSE),DefThrAsset)/$AI99,1))))</f>
        <v/>
      </c>
      <c r="AK99" s="33">
        <f>IF($B99="","",$AE99*$AJ99)</f>
        <v/>
      </c>
    </row>
    <row r="100">
      <c r="A100" s="16">
        <f>IF($B100="","",ROW()-4)</f>
        <v/>
      </c>
      <c r="B100" s="20" t="n"/>
      <c r="C100" s="20" t="n"/>
      <c r="D100" s="20" t="n"/>
      <c r="E100" s="20" t="n"/>
      <c r="F100" s="20" t="n"/>
      <c r="G100" s="20" t="n"/>
      <c r="H100" s="30" t="n"/>
      <c r="I100" s="30" t="n"/>
      <c r="J100" s="30" t="n"/>
      <c r="K100" s="31">
        <f>IF($B100="","",IF(ISNUMBER($J100),$J100,$I100))</f>
        <v/>
      </c>
      <c r="L100" s="32">
        <f>IF($B100="","",IFERROR(VLOOKUP($G100,FXRates,4,FALSE),1))</f>
        <v/>
      </c>
      <c r="M100" s="33">
        <f>IF($B100="","",$H100*$K100*$L100)</f>
        <v/>
      </c>
      <c r="N100" s="21" t="n"/>
      <c r="O100" s="14">
        <f>IF($B100="","",IF($D100=CashLabel,IF(ISNUMBER($N100),$N100,1),MIN(IF(ISNUMBER($N100),$N100,IFERROR(VLOOKUP($D100,LVTable,2,FALSE),0)),LVCap)))</f>
        <v/>
      </c>
      <c r="P100" s="25">
        <f>IF($B100="","",$M100*$O100)</f>
        <v/>
      </c>
      <c r="Q100" s="16">
        <f>IF($B100="","",IFERROR(VLOOKUP($G100,FXRates,5,FALSE),$G100))</f>
        <v/>
      </c>
      <c r="R100" s="14">
        <f>IF($B100="","",IF($D100=CashLabel,"",SUMIFS($P$5:$P$204,$B$5:$B$204,$B100,$D$5:$D$204,"&lt;&gt;"&amp;CashLabel)/ConcDenom))</f>
        <v/>
      </c>
      <c r="S100" s="14">
        <f>IF($B100="","",IF($D100=CashLabel,"",SUMIFS($P$5:$P$204,$E$5:$E$204,$E100,$D$5:$D$204,"&lt;&gt;"&amp;CashLabel)/ConcDenom))</f>
        <v/>
      </c>
      <c r="T100" s="14">
        <f>IF($B100="","",IF($D100=CashLabel,"",SUMIFS($P$5:$P$204,$F$5:$F$204,$F100,$D$5:$D$204,"&lt;&gt;"&amp;CashLabel)/ConcDenom))</f>
        <v/>
      </c>
      <c r="U100" s="14">
        <f>IF($B100="","",IF($D100=CashLabel,"",SUMIFS($P$5:$P$204,$D$5:$D$204,$D100,$D$5:$D$204,"&lt;&gt;"&amp;CashLabel)/ConcDenom))</f>
        <v/>
      </c>
      <c r="V100" s="15">
        <f>IF($B100="","",IF($D100=CashLabel,1,IF($R100&gt;ThrSingle,ThrSingle/$R100,1)))</f>
        <v/>
      </c>
      <c r="W100" s="15">
        <f>IF($B100="","",IF($D100=CashLabel,1,IF($S100&gt;ThrIssuer,ThrIssuer/$S100,1)))</f>
        <v/>
      </c>
      <c r="X100" s="15">
        <f>IF($B100="","",IF($D100=CashLabel,1,IF($T100&gt;IFERROR(VLOOKUP($F100,CountryThr,2,FALSE),DefThrCountry),IFERROR(VLOOKUP($F100,CountryThr,2,FALSE),DefThrCountry)/$T100,1)))</f>
        <v/>
      </c>
      <c r="Y100" s="15">
        <f>IF($B100="","",IF($D100=CashLabel,1,IF($U100&gt;IFERROR(VLOOKUP($D100,LVTable,3,FALSE),DefThrAsset),IFERROR(VLOOKUP($D100,LVTable,3,FALSE),DefThrAsset)/$U100,1)))</f>
        <v/>
      </c>
      <c r="Z100" s="34">
        <f>IF($B100="","",IF($D100=CashLabel,1,MIN($V100:$Y100)))</f>
        <v/>
      </c>
      <c r="AA100" s="25">
        <f>IF($B100="","",$P100*$Z100)</f>
        <v/>
      </c>
      <c r="AB100" s="33">
        <f>IF($B100="","",$P100-$AA100)</f>
        <v/>
      </c>
      <c r="AC100" s="21" t="n"/>
      <c r="AD100" s="33">
        <f>IF($B100="","",$M100*(1+IF(ISNUMBER($AC100),$AC100,0)))</f>
        <v/>
      </c>
      <c r="AE100" s="33">
        <f>IF($B100="","",$AD100*$O100)</f>
        <v/>
      </c>
      <c r="AF100" s="14">
        <f>IF($B100="","",IF($D100=CashLabel,"",SUMIFS($AE$5:$AE$204,$B$5:$B$204,$B100,$D$5:$D$204,"&lt;&gt;"&amp;CashLabel)/ConcDenomStr))</f>
        <v/>
      </c>
      <c r="AG100" s="14">
        <f>IF($B100="","",IF($D100=CashLabel,"",SUMIFS($AE$5:$AE$204,$E$5:$E$204,$E100,$D$5:$D$204,"&lt;&gt;"&amp;CashLabel)/ConcDenomStr))</f>
        <v/>
      </c>
      <c r="AH100" s="14">
        <f>IF($B100="","",IF($D100=CashLabel,"",SUMIFS($AE$5:$AE$204,$F$5:$F$204,$F100,$D$5:$D$204,"&lt;&gt;"&amp;CashLabel)/ConcDenomStr))</f>
        <v/>
      </c>
      <c r="AI100" s="14">
        <f>IF($B100="","",IF($D100=CashLabel,"",SUMIFS($AE$5:$AE$204,$D$5:$D$204,$D100,$D$5:$D$204,"&lt;&gt;"&amp;CashLabel)/ConcDenomStr))</f>
        <v/>
      </c>
      <c r="AJ100" s="15">
        <f>IF($B100="","",IF($D100=CashLabel,1,MIN(IF($AF100&gt;ThrSingle,ThrSingle/$AF100,1),IF($AG100&gt;ThrIssuer,ThrIssuer/$AG100,1),IF($AH100&gt;IFERROR(VLOOKUP($F100,CountryThr,2,FALSE),DefThrCountry),IFERROR(VLOOKUP($F100,CountryThr,2,FALSE),DefThrCountry)/$AH100,1),IF($AI100&gt;IFERROR(VLOOKUP($D100,LVTable,3,FALSE),DefThrAsset),IFERROR(VLOOKUP($D100,LVTable,3,FALSE),DefThrAsset)/$AI100,1))))</f>
        <v/>
      </c>
      <c r="AK100" s="33">
        <f>IF($B100="","",$AE100*$AJ100)</f>
        <v/>
      </c>
    </row>
    <row r="101">
      <c r="A101" s="16">
        <f>IF($B101="","",ROW()-4)</f>
        <v/>
      </c>
      <c r="B101" s="20" t="n"/>
      <c r="C101" s="20" t="n"/>
      <c r="D101" s="20" t="n"/>
      <c r="E101" s="20" t="n"/>
      <c r="F101" s="20" t="n"/>
      <c r="G101" s="20" t="n"/>
      <c r="H101" s="30" t="n"/>
      <c r="I101" s="30" t="n"/>
      <c r="J101" s="30" t="n"/>
      <c r="K101" s="31">
        <f>IF($B101="","",IF(ISNUMBER($J101),$J101,$I101))</f>
        <v/>
      </c>
      <c r="L101" s="32">
        <f>IF($B101="","",IFERROR(VLOOKUP($G101,FXRates,4,FALSE),1))</f>
        <v/>
      </c>
      <c r="M101" s="33">
        <f>IF($B101="","",$H101*$K101*$L101)</f>
        <v/>
      </c>
      <c r="N101" s="21" t="n"/>
      <c r="O101" s="14">
        <f>IF($B101="","",IF($D101=CashLabel,IF(ISNUMBER($N101),$N101,1),MIN(IF(ISNUMBER($N101),$N101,IFERROR(VLOOKUP($D101,LVTable,2,FALSE),0)),LVCap)))</f>
        <v/>
      </c>
      <c r="P101" s="25">
        <f>IF($B101="","",$M101*$O101)</f>
        <v/>
      </c>
      <c r="Q101" s="16">
        <f>IF($B101="","",IFERROR(VLOOKUP($G101,FXRates,5,FALSE),$G101))</f>
        <v/>
      </c>
      <c r="R101" s="14">
        <f>IF($B101="","",IF($D101=CashLabel,"",SUMIFS($P$5:$P$204,$B$5:$B$204,$B101,$D$5:$D$204,"&lt;&gt;"&amp;CashLabel)/ConcDenom))</f>
        <v/>
      </c>
      <c r="S101" s="14">
        <f>IF($B101="","",IF($D101=CashLabel,"",SUMIFS($P$5:$P$204,$E$5:$E$204,$E101,$D$5:$D$204,"&lt;&gt;"&amp;CashLabel)/ConcDenom))</f>
        <v/>
      </c>
      <c r="T101" s="14">
        <f>IF($B101="","",IF($D101=CashLabel,"",SUMIFS($P$5:$P$204,$F$5:$F$204,$F101,$D$5:$D$204,"&lt;&gt;"&amp;CashLabel)/ConcDenom))</f>
        <v/>
      </c>
      <c r="U101" s="14">
        <f>IF($B101="","",IF($D101=CashLabel,"",SUMIFS($P$5:$P$204,$D$5:$D$204,$D101,$D$5:$D$204,"&lt;&gt;"&amp;CashLabel)/ConcDenom))</f>
        <v/>
      </c>
      <c r="V101" s="15">
        <f>IF($B101="","",IF($D101=CashLabel,1,IF($R101&gt;ThrSingle,ThrSingle/$R101,1)))</f>
        <v/>
      </c>
      <c r="W101" s="15">
        <f>IF($B101="","",IF($D101=CashLabel,1,IF($S101&gt;ThrIssuer,ThrIssuer/$S101,1)))</f>
        <v/>
      </c>
      <c r="X101" s="15">
        <f>IF($B101="","",IF($D101=CashLabel,1,IF($T101&gt;IFERROR(VLOOKUP($F101,CountryThr,2,FALSE),DefThrCountry),IFERROR(VLOOKUP($F101,CountryThr,2,FALSE),DefThrCountry)/$T101,1)))</f>
        <v/>
      </c>
      <c r="Y101" s="15">
        <f>IF($B101="","",IF($D101=CashLabel,1,IF($U101&gt;IFERROR(VLOOKUP($D101,LVTable,3,FALSE),DefThrAsset),IFERROR(VLOOKUP($D101,LVTable,3,FALSE),DefThrAsset)/$U101,1)))</f>
        <v/>
      </c>
      <c r="Z101" s="34">
        <f>IF($B101="","",IF($D101=CashLabel,1,MIN($V101:$Y101)))</f>
        <v/>
      </c>
      <c r="AA101" s="25">
        <f>IF($B101="","",$P101*$Z101)</f>
        <v/>
      </c>
      <c r="AB101" s="33">
        <f>IF($B101="","",$P101-$AA101)</f>
        <v/>
      </c>
      <c r="AC101" s="21" t="n"/>
      <c r="AD101" s="33">
        <f>IF($B101="","",$M101*(1+IF(ISNUMBER($AC101),$AC101,0)))</f>
        <v/>
      </c>
      <c r="AE101" s="33">
        <f>IF($B101="","",$AD101*$O101)</f>
        <v/>
      </c>
      <c r="AF101" s="14">
        <f>IF($B101="","",IF($D101=CashLabel,"",SUMIFS($AE$5:$AE$204,$B$5:$B$204,$B101,$D$5:$D$204,"&lt;&gt;"&amp;CashLabel)/ConcDenomStr))</f>
        <v/>
      </c>
      <c r="AG101" s="14">
        <f>IF($B101="","",IF($D101=CashLabel,"",SUMIFS($AE$5:$AE$204,$E$5:$E$204,$E101,$D$5:$D$204,"&lt;&gt;"&amp;CashLabel)/ConcDenomStr))</f>
        <v/>
      </c>
      <c r="AH101" s="14">
        <f>IF($B101="","",IF($D101=CashLabel,"",SUMIFS($AE$5:$AE$204,$F$5:$F$204,$F101,$D$5:$D$204,"&lt;&gt;"&amp;CashLabel)/ConcDenomStr))</f>
        <v/>
      </c>
      <c r="AI101" s="14">
        <f>IF($B101="","",IF($D101=CashLabel,"",SUMIFS($AE$5:$AE$204,$D$5:$D$204,$D101,$D$5:$D$204,"&lt;&gt;"&amp;CashLabel)/ConcDenomStr))</f>
        <v/>
      </c>
      <c r="AJ101" s="15">
        <f>IF($B101="","",IF($D101=CashLabel,1,MIN(IF($AF101&gt;ThrSingle,ThrSingle/$AF101,1),IF($AG101&gt;ThrIssuer,ThrIssuer/$AG101,1),IF($AH101&gt;IFERROR(VLOOKUP($F101,CountryThr,2,FALSE),DefThrCountry),IFERROR(VLOOKUP($F101,CountryThr,2,FALSE),DefThrCountry)/$AH101,1),IF($AI101&gt;IFERROR(VLOOKUP($D101,LVTable,3,FALSE),DefThrAsset),IFERROR(VLOOKUP($D101,LVTable,3,FALSE),DefThrAsset)/$AI101,1))))</f>
        <v/>
      </c>
      <c r="AK101" s="33">
        <f>IF($B101="","",$AE101*$AJ101)</f>
        <v/>
      </c>
    </row>
    <row r="102">
      <c r="A102" s="16">
        <f>IF($B102="","",ROW()-4)</f>
        <v/>
      </c>
      <c r="B102" s="20" t="n"/>
      <c r="C102" s="20" t="n"/>
      <c r="D102" s="20" t="n"/>
      <c r="E102" s="20" t="n"/>
      <c r="F102" s="20" t="n"/>
      <c r="G102" s="20" t="n"/>
      <c r="H102" s="30" t="n"/>
      <c r="I102" s="30" t="n"/>
      <c r="J102" s="30" t="n"/>
      <c r="K102" s="31">
        <f>IF($B102="","",IF(ISNUMBER($J102),$J102,$I102))</f>
        <v/>
      </c>
      <c r="L102" s="32">
        <f>IF($B102="","",IFERROR(VLOOKUP($G102,FXRates,4,FALSE),1))</f>
        <v/>
      </c>
      <c r="M102" s="33">
        <f>IF($B102="","",$H102*$K102*$L102)</f>
        <v/>
      </c>
      <c r="N102" s="21" t="n"/>
      <c r="O102" s="14">
        <f>IF($B102="","",IF($D102=CashLabel,IF(ISNUMBER($N102),$N102,1),MIN(IF(ISNUMBER($N102),$N102,IFERROR(VLOOKUP($D102,LVTable,2,FALSE),0)),LVCap)))</f>
        <v/>
      </c>
      <c r="P102" s="25">
        <f>IF($B102="","",$M102*$O102)</f>
        <v/>
      </c>
      <c r="Q102" s="16">
        <f>IF($B102="","",IFERROR(VLOOKUP($G102,FXRates,5,FALSE),$G102))</f>
        <v/>
      </c>
      <c r="R102" s="14">
        <f>IF($B102="","",IF($D102=CashLabel,"",SUMIFS($P$5:$P$204,$B$5:$B$204,$B102,$D$5:$D$204,"&lt;&gt;"&amp;CashLabel)/ConcDenom))</f>
        <v/>
      </c>
      <c r="S102" s="14">
        <f>IF($B102="","",IF($D102=CashLabel,"",SUMIFS($P$5:$P$204,$E$5:$E$204,$E102,$D$5:$D$204,"&lt;&gt;"&amp;CashLabel)/ConcDenom))</f>
        <v/>
      </c>
      <c r="T102" s="14">
        <f>IF($B102="","",IF($D102=CashLabel,"",SUMIFS($P$5:$P$204,$F$5:$F$204,$F102,$D$5:$D$204,"&lt;&gt;"&amp;CashLabel)/ConcDenom))</f>
        <v/>
      </c>
      <c r="U102" s="14">
        <f>IF($B102="","",IF($D102=CashLabel,"",SUMIFS($P$5:$P$204,$D$5:$D$204,$D102,$D$5:$D$204,"&lt;&gt;"&amp;CashLabel)/ConcDenom))</f>
        <v/>
      </c>
      <c r="V102" s="15">
        <f>IF($B102="","",IF($D102=CashLabel,1,IF($R102&gt;ThrSingle,ThrSingle/$R102,1)))</f>
        <v/>
      </c>
      <c r="W102" s="15">
        <f>IF($B102="","",IF($D102=CashLabel,1,IF($S102&gt;ThrIssuer,ThrIssuer/$S102,1)))</f>
        <v/>
      </c>
      <c r="X102" s="15">
        <f>IF($B102="","",IF($D102=CashLabel,1,IF($T102&gt;IFERROR(VLOOKUP($F102,CountryThr,2,FALSE),DefThrCountry),IFERROR(VLOOKUP($F102,CountryThr,2,FALSE),DefThrCountry)/$T102,1)))</f>
        <v/>
      </c>
      <c r="Y102" s="15">
        <f>IF($B102="","",IF($D102=CashLabel,1,IF($U102&gt;IFERROR(VLOOKUP($D102,LVTable,3,FALSE),DefThrAsset),IFERROR(VLOOKUP($D102,LVTable,3,FALSE),DefThrAsset)/$U102,1)))</f>
        <v/>
      </c>
      <c r="Z102" s="34">
        <f>IF($B102="","",IF($D102=CashLabel,1,MIN($V102:$Y102)))</f>
        <v/>
      </c>
      <c r="AA102" s="25">
        <f>IF($B102="","",$P102*$Z102)</f>
        <v/>
      </c>
      <c r="AB102" s="33">
        <f>IF($B102="","",$P102-$AA102)</f>
        <v/>
      </c>
      <c r="AC102" s="21" t="n"/>
      <c r="AD102" s="33">
        <f>IF($B102="","",$M102*(1+IF(ISNUMBER($AC102),$AC102,0)))</f>
        <v/>
      </c>
      <c r="AE102" s="33">
        <f>IF($B102="","",$AD102*$O102)</f>
        <v/>
      </c>
      <c r="AF102" s="14">
        <f>IF($B102="","",IF($D102=CashLabel,"",SUMIFS($AE$5:$AE$204,$B$5:$B$204,$B102,$D$5:$D$204,"&lt;&gt;"&amp;CashLabel)/ConcDenomStr))</f>
        <v/>
      </c>
      <c r="AG102" s="14">
        <f>IF($B102="","",IF($D102=CashLabel,"",SUMIFS($AE$5:$AE$204,$E$5:$E$204,$E102,$D$5:$D$204,"&lt;&gt;"&amp;CashLabel)/ConcDenomStr))</f>
        <v/>
      </c>
      <c r="AH102" s="14">
        <f>IF($B102="","",IF($D102=CashLabel,"",SUMIFS($AE$5:$AE$204,$F$5:$F$204,$F102,$D$5:$D$204,"&lt;&gt;"&amp;CashLabel)/ConcDenomStr))</f>
        <v/>
      </c>
      <c r="AI102" s="14">
        <f>IF($B102="","",IF($D102=CashLabel,"",SUMIFS($AE$5:$AE$204,$D$5:$D$204,$D102,$D$5:$D$204,"&lt;&gt;"&amp;CashLabel)/ConcDenomStr))</f>
        <v/>
      </c>
      <c r="AJ102" s="15">
        <f>IF($B102="","",IF($D102=CashLabel,1,MIN(IF($AF102&gt;ThrSingle,ThrSingle/$AF102,1),IF($AG102&gt;ThrIssuer,ThrIssuer/$AG102,1),IF($AH102&gt;IFERROR(VLOOKUP($F102,CountryThr,2,FALSE),DefThrCountry),IFERROR(VLOOKUP($F102,CountryThr,2,FALSE),DefThrCountry)/$AH102,1),IF($AI102&gt;IFERROR(VLOOKUP($D102,LVTable,3,FALSE),DefThrAsset),IFERROR(VLOOKUP($D102,LVTable,3,FALSE),DefThrAsset)/$AI102,1))))</f>
        <v/>
      </c>
      <c r="AK102" s="33">
        <f>IF($B102="","",$AE102*$AJ102)</f>
        <v/>
      </c>
    </row>
    <row r="103">
      <c r="A103" s="16">
        <f>IF($B103="","",ROW()-4)</f>
        <v/>
      </c>
      <c r="B103" s="20" t="n"/>
      <c r="C103" s="20" t="n"/>
      <c r="D103" s="20" t="n"/>
      <c r="E103" s="20" t="n"/>
      <c r="F103" s="20" t="n"/>
      <c r="G103" s="20" t="n"/>
      <c r="H103" s="30" t="n"/>
      <c r="I103" s="30" t="n"/>
      <c r="J103" s="30" t="n"/>
      <c r="K103" s="31">
        <f>IF($B103="","",IF(ISNUMBER($J103),$J103,$I103))</f>
        <v/>
      </c>
      <c r="L103" s="32">
        <f>IF($B103="","",IFERROR(VLOOKUP($G103,FXRates,4,FALSE),1))</f>
        <v/>
      </c>
      <c r="M103" s="33">
        <f>IF($B103="","",$H103*$K103*$L103)</f>
        <v/>
      </c>
      <c r="N103" s="21" t="n"/>
      <c r="O103" s="14">
        <f>IF($B103="","",IF($D103=CashLabel,IF(ISNUMBER($N103),$N103,1),MIN(IF(ISNUMBER($N103),$N103,IFERROR(VLOOKUP($D103,LVTable,2,FALSE),0)),LVCap)))</f>
        <v/>
      </c>
      <c r="P103" s="25">
        <f>IF($B103="","",$M103*$O103)</f>
        <v/>
      </c>
      <c r="Q103" s="16">
        <f>IF($B103="","",IFERROR(VLOOKUP($G103,FXRates,5,FALSE),$G103))</f>
        <v/>
      </c>
      <c r="R103" s="14">
        <f>IF($B103="","",IF($D103=CashLabel,"",SUMIFS($P$5:$P$204,$B$5:$B$204,$B103,$D$5:$D$204,"&lt;&gt;"&amp;CashLabel)/ConcDenom))</f>
        <v/>
      </c>
      <c r="S103" s="14">
        <f>IF($B103="","",IF($D103=CashLabel,"",SUMIFS($P$5:$P$204,$E$5:$E$204,$E103,$D$5:$D$204,"&lt;&gt;"&amp;CashLabel)/ConcDenom))</f>
        <v/>
      </c>
      <c r="T103" s="14">
        <f>IF($B103="","",IF($D103=CashLabel,"",SUMIFS($P$5:$P$204,$F$5:$F$204,$F103,$D$5:$D$204,"&lt;&gt;"&amp;CashLabel)/ConcDenom))</f>
        <v/>
      </c>
      <c r="U103" s="14">
        <f>IF($B103="","",IF($D103=CashLabel,"",SUMIFS($P$5:$P$204,$D$5:$D$204,$D103,$D$5:$D$204,"&lt;&gt;"&amp;CashLabel)/ConcDenom))</f>
        <v/>
      </c>
      <c r="V103" s="15">
        <f>IF($B103="","",IF($D103=CashLabel,1,IF($R103&gt;ThrSingle,ThrSingle/$R103,1)))</f>
        <v/>
      </c>
      <c r="W103" s="15">
        <f>IF($B103="","",IF($D103=CashLabel,1,IF($S103&gt;ThrIssuer,ThrIssuer/$S103,1)))</f>
        <v/>
      </c>
      <c r="X103" s="15">
        <f>IF($B103="","",IF($D103=CashLabel,1,IF($T103&gt;IFERROR(VLOOKUP($F103,CountryThr,2,FALSE),DefThrCountry),IFERROR(VLOOKUP($F103,CountryThr,2,FALSE),DefThrCountry)/$T103,1)))</f>
        <v/>
      </c>
      <c r="Y103" s="15">
        <f>IF($B103="","",IF($D103=CashLabel,1,IF($U103&gt;IFERROR(VLOOKUP($D103,LVTable,3,FALSE),DefThrAsset),IFERROR(VLOOKUP($D103,LVTable,3,FALSE),DefThrAsset)/$U103,1)))</f>
        <v/>
      </c>
      <c r="Z103" s="34">
        <f>IF($B103="","",IF($D103=CashLabel,1,MIN($V103:$Y103)))</f>
        <v/>
      </c>
      <c r="AA103" s="25">
        <f>IF($B103="","",$P103*$Z103)</f>
        <v/>
      </c>
      <c r="AB103" s="33">
        <f>IF($B103="","",$P103-$AA103)</f>
        <v/>
      </c>
      <c r="AC103" s="21" t="n"/>
      <c r="AD103" s="33">
        <f>IF($B103="","",$M103*(1+IF(ISNUMBER($AC103),$AC103,0)))</f>
        <v/>
      </c>
      <c r="AE103" s="33">
        <f>IF($B103="","",$AD103*$O103)</f>
        <v/>
      </c>
      <c r="AF103" s="14">
        <f>IF($B103="","",IF($D103=CashLabel,"",SUMIFS($AE$5:$AE$204,$B$5:$B$204,$B103,$D$5:$D$204,"&lt;&gt;"&amp;CashLabel)/ConcDenomStr))</f>
        <v/>
      </c>
      <c r="AG103" s="14">
        <f>IF($B103="","",IF($D103=CashLabel,"",SUMIFS($AE$5:$AE$204,$E$5:$E$204,$E103,$D$5:$D$204,"&lt;&gt;"&amp;CashLabel)/ConcDenomStr))</f>
        <v/>
      </c>
      <c r="AH103" s="14">
        <f>IF($B103="","",IF($D103=CashLabel,"",SUMIFS($AE$5:$AE$204,$F$5:$F$204,$F103,$D$5:$D$204,"&lt;&gt;"&amp;CashLabel)/ConcDenomStr))</f>
        <v/>
      </c>
      <c r="AI103" s="14">
        <f>IF($B103="","",IF($D103=CashLabel,"",SUMIFS($AE$5:$AE$204,$D$5:$D$204,$D103,$D$5:$D$204,"&lt;&gt;"&amp;CashLabel)/ConcDenomStr))</f>
        <v/>
      </c>
      <c r="AJ103" s="15">
        <f>IF($B103="","",IF($D103=CashLabel,1,MIN(IF($AF103&gt;ThrSingle,ThrSingle/$AF103,1),IF($AG103&gt;ThrIssuer,ThrIssuer/$AG103,1),IF($AH103&gt;IFERROR(VLOOKUP($F103,CountryThr,2,FALSE),DefThrCountry),IFERROR(VLOOKUP($F103,CountryThr,2,FALSE),DefThrCountry)/$AH103,1),IF($AI103&gt;IFERROR(VLOOKUP($D103,LVTable,3,FALSE),DefThrAsset),IFERROR(VLOOKUP($D103,LVTable,3,FALSE),DefThrAsset)/$AI103,1))))</f>
        <v/>
      </c>
      <c r="AK103" s="33">
        <f>IF($B103="","",$AE103*$AJ103)</f>
        <v/>
      </c>
    </row>
    <row r="104">
      <c r="A104" s="16">
        <f>IF($B104="","",ROW()-4)</f>
        <v/>
      </c>
      <c r="B104" s="20" t="n"/>
      <c r="C104" s="20" t="n"/>
      <c r="D104" s="20" t="n"/>
      <c r="E104" s="20" t="n"/>
      <c r="F104" s="20" t="n"/>
      <c r="G104" s="20" t="n"/>
      <c r="H104" s="30" t="n"/>
      <c r="I104" s="30" t="n"/>
      <c r="J104" s="30" t="n"/>
      <c r="K104" s="31">
        <f>IF($B104="","",IF(ISNUMBER($J104),$J104,$I104))</f>
        <v/>
      </c>
      <c r="L104" s="32">
        <f>IF($B104="","",IFERROR(VLOOKUP($G104,FXRates,4,FALSE),1))</f>
        <v/>
      </c>
      <c r="M104" s="33">
        <f>IF($B104="","",$H104*$K104*$L104)</f>
        <v/>
      </c>
      <c r="N104" s="21" t="n"/>
      <c r="O104" s="14">
        <f>IF($B104="","",IF($D104=CashLabel,IF(ISNUMBER($N104),$N104,1),MIN(IF(ISNUMBER($N104),$N104,IFERROR(VLOOKUP($D104,LVTable,2,FALSE),0)),LVCap)))</f>
        <v/>
      </c>
      <c r="P104" s="25">
        <f>IF($B104="","",$M104*$O104)</f>
        <v/>
      </c>
      <c r="Q104" s="16">
        <f>IF($B104="","",IFERROR(VLOOKUP($G104,FXRates,5,FALSE),$G104))</f>
        <v/>
      </c>
      <c r="R104" s="14">
        <f>IF($B104="","",IF($D104=CashLabel,"",SUMIFS($P$5:$P$204,$B$5:$B$204,$B104,$D$5:$D$204,"&lt;&gt;"&amp;CashLabel)/ConcDenom))</f>
        <v/>
      </c>
      <c r="S104" s="14">
        <f>IF($B104="","",IF($D104=CashLabel,"",SUMIFS($P$5:$P$204,$E$5:$E$204,$E104,$D$5:$D$204,"&lt;&gt;"&amp;CashLabel)/ConcDenom))</f>
        <v/>
      </c>
      <c r="T104" s="14">
        <f>IF($B104="","",IF($D104=CashLabel,"",SUMIFS($P$5:$P$204,$F$5:$F$204,$F104,$D$5:$D$204,"&lt;&gt;"&amp;CashLabel)/ConcDenom))</f>
        <v/>
      </c>
      <c r="U104" s="14">
        <f>IF($B104="","",IF($D104=CashLabel,"",SUMIFS($P$5:$P$204,$D$5:$D$204,$D104,$D$5:$D$204,"&lt;&gt;"&amp;CashLabel)/ConcDenom))</f>
        <v/>
      </c>
      <c r="V104" s="15">
        <f>IF($B104="","",IF($D104=CashLabel,1,IF($R104&gt;ThrSingle,ThrSingle/$R104,1)))</f>
        <v/>
      </c>
      <c r="W104" s="15">
        <f>IF($B104="","",IF($D104=CashLabel,1,IF($S104&gt;ThrIssuer,ThrIssuer/$S104,1)))</f>
        <v/>
      </c>
      <c r="X104" s="15">
        <f>IF($B104="","",IF($D104=CashLabel,1,IF($T104&gt;IFERROR(VLOOKUP($F104,CountryThr,2,FALSE),DefThrCountry),IFERROR(VLOOKUP($F104,CountryThr,2,FALSE),DefThrCountry)/$T104,1)))</f>
        <v/>
      </c>
      <c r="Y104" s="15">
        <f>IF($B104="","",IF($D104=CashLabel,1,IF($U104&gt;IFERROR(VLOOKUP($D104,LVTable,3,FALSE),DefThrAsset),IFERROR(VLOOKUP($D104,LVTable,3,FALSE),DefThrAsset)/$U104,1)))</f>
        <v/>
      </c>
      <c r="Z104" s="34">
        <f>IF($B104="","",IF($D104=CashLabel,1,MIN($V104:$Y104)))</f>
        <v/>
      </c>
      <c r="AA104" s="25">
        <f>IF($B104="","",$P104*$Z104)</f>
        <v/>
      </c>
      <c r="AB104" s="33">
        <f>IF($B104="","",$P104-$AA104)</f>
        <v/>
      </c>
      <c r="AC104" s="21" t="n"/>
      <c r="AD104" s="33">
        <f>IF($B104="","",$M104*(1+IF(ISNUMBER($AC104),$AC104,0)))</f>
        <v/>
      </c>
      <c r="AE104" s="33">
        <f>IF($B104="","",$AD104*$O104)</f>
        <v/>
      </c>
      <c r="AF104" s="14">
        <f>IF($B104="","",IF($D104=CashLabel,"",SUMIFS($AE$5:$AE$204,$B$5:$B$204,$B104,$D$5:$D$204,"&lt;&gt;"&amp;CashLabel)/ConcDenomStr))</f>
        <v/>
      </c>
      <c r="AG104" s="14">
        <f>IF($B104="","",IF($D104=CashLabel,"",SUMIFS($AE$5:$AE$204,$E$5:$E$204,$E104,$D$5:$D$204,"&lt;&gt;"&amp;CashLabel)/ConcDenomStr))</f>
        <v/>
      </c>
      <c r="AH104" s="14">
        <f>IF($B104="","",IF($D104=CashLabel,"",SUMIFS($AE$5:$AE$204,$F$5:$F$204,$F104,$D$5:$D$204,"&lt;&gt;"&amp;CashLabel)/ConcDenomStr))</f>
        <v/>
      </c>
      <c r="AI104" s="14">
        <f>IF($B104="","",IF($D104=CashLabel,"",SUMIFS($AE$5:$AE$204,$D$5:$D$204,$D104,$D$5:$D$204,"&lt;&gt;"&amp;CashLabel)/ConcDenomStr))</f>
        <v/>
      </c>
      <c r="AJ104" s="15">
        <f>IF($B104="","",IF($D104=CashLabel,1,MIN(IF($AF104&gt;ThrSingle,ThrSingle/$AF104,1),IF($AG104&gt;ThrIssuer,ThrIssuer/$AG104,1),IF($AH104&gt;IFERROR(VLOOKUP($F104,CountryThr,2,FALSE),DefThrCountry),IFERROR(VLOOKUP($F104,CountryThr,2,FALSE),DefThrCountry)/$AH104,1),IF($AI104&gt;IFERROR(VLOOKUP($D104,LVTable,3,FALSE),DefThrAsset),IFERROR(VLOOKUP($D104,LVTable,3,FALSE),DefThrAsset)/$AI104,1))))</f>
        <v/>
      </c>
      <c r="AK104" s="33">
        <f>IF($B104="","",$AE104*$AJ104)</f>
        <v/>
      </c>
    </row>
    <row r="105">
      <c r="A105" s="16">
        <f>IF($B105="","",ROW()-4)</f>
        <v/>
      </c>
      <c r="B105" s="20" t="n"/>
      <c r="C105" s="20" t="n"/>
      <c r="D105" s="20" t="n"/>
      <c r="E105" s="20" t="n"/>
      <c r="F105" s="20" t="n"/>
      <c r="G105" s="20" t="n"/>
      <c r="H105" s="30" t="n"/>
      <c r="I105" s="30" t="n"/>
      <c r="J105" s="30" t="n"/>
      <c r="K105" s="31">
        <f>IF($B105="","",IF(ISNUMBER($J105),$J105,$I105))</f>
        <v/>
      </c>
      <c r="L105" s="32">
        <f>IF($B105="","",IFERROR(VLOOKUP($G105,FXRates,4,FALSE),1))</f>
        <v/>
      </c>
      <c r="M105" s="33">
        <f>IF($B105="","",$H105*$K105*$L105)</f>
        <v/>
      </c>
      <c r="N105" s="21" t="n"/>
      <c r="O105" s="14">
        <f>IF($B105="","",IF($D105=CashLabel,IF(ISNUMBER($N105),$N105,1),MIN(IF(ISNUMBER($N105),$N105,IFERROR(VLOOKUP($D105,LVTable,2,FALSE),0)),LVCap)))</f>
        <v/>
      </c>
      <c r="P105" s="25">
        <f>IF($B105="","",$M105*$O105)</f>
        <v/>
      </c>
      <c r="Q105" s="16">
        <f>IF($B105="","",IFERROR(VLOOKUP($G105,FXRates,5,FALSE),$G105))</f>
        <v/>
      </c>
      <c r="R105" s="14">
        <f>IF($B105="","",IF($D105=CashLabel,"",SUMIFS($P$5:$P$204,$B$5:$B$204,$B105,$D$5:$D$204,"&lt;&gt;"&amp;CashLabel)/ConcDenom))</f>
        <v/>
      </c>
      <c r="S105" s="14">
        <f>IF($B105="","",IF($D105=CashLabel,"",SUMIFS($P$5:$P$204,$E$5:$E$204,$E105,$D$5:$D$204,"&lt;&gt;"&amp;CashLabel)/ConcDenom))</f>
        <v/>
      </c>
      <c r="T105" s="14">
        <f>IF($B105="","",IF($D105=CashLabel,"",SUMIFS($P$5:$P$204,$F$5:$F$204,$F105,$D$5:$D$204,"&lt;&gt;"&amp;CashLabel)/ConcDenom))</f>
        <v/>
      </c>
      <c r="U105" s="14">
        <f>IF($B105="","",IF($D105=CashLabel,"",SUMIFS($P$5:$P$204,$D$5:$D$204,$D105,$D$5:$D$204,"&lt;&gt;"&amp;CashLabel)/ConcDenom))</f>
        <v/>
      </c>
      <c r="V105" s="15">
        <f>IF($B105="","",IF($D105=CashLabel,1,IF($R105&gt;ThrSingle,ThrSingle/$R105,1)))</f>
        <v/>
      </c>
      <c r="W105" s="15">
        <f>IF($B105="","",IF($D105=CashLabel,1,IF($S105&gt;ThrIssuer,ThrIssuer/$S105,1)))</f>
        <v/>
      </c>
      <c r="X105" s="15">
        <f>IF($B105="","",IF($D105=CashLabel,1,IF($T105&gt;IFERROR(VLOOKUP($F105,CountryThr,2,FALSE),DefThrCountry),IFERROR(VLOOKUP($F105,CountryThr,2,FALSE),DefThrCountry)/$T105,1)))</f>
        <v/>
      </c>
      <c r="Y105" s="15">
        <f>IF($B105="","",IF($D105=CashLabel,1,IF($U105&gt;IFERROR(VLOOKUP($D105,LVTable,3,FALSE),DefThrAsset),IFERROR(VLOOKUP($D105,LVTable,3,FALSE),DefThrAsset)/$U105,1)))</f>
        <v/>
      </c>
      <c r="Z105" s="34">
        <f>IF($B105="","",IF($D105=CashLabel,1,MIN($V105:$Y105)))</f>
        <v/>
      </c>
      <c r="AA105" s="25">
        <f>IF($B105="","",$P105*$Z105)</f>
        <v/>
      </c>
      <c r="AB105" s="33">
        <f>IF($B105="","",$P105-$AA105)</f>
        <v/>
      </c>
      <c r="AC105" s="21" t="n"/>
      <c r="AD105" s="33">
        <f>IF($B105="","",$M105*(1+IF(ISNUMBER($AC105),$AC105,0)))</f>
        <v/>
      </c>
      <c r="AE105" s="33">
        <f>IF($B105="","",$AD105*$O105)</f>
        <v/>
      </c>
      <c r="AF105" s="14">
        <f>IF($B105="","",IF($D105=CashLabel,"",SUMIFS($AE$5:$AE$204,$B$5:$B$204,$B105,$D$5:$D$204,"&lt;&gt;"&amp;CashLabel)/ConcDenomStr))</f>
        <v/>
      </c>
      <c r="AG105" s="14">
        <f>IF($B105="","",IF($D105=CashLabel,"",SUMIFS($AE$5:$AE$204,$E$5:$E$204,$E105,$D$5:$D$204,"&lt;&gt;"&amp;CashLabel)/ConcDenomStr))</f>
        <v/>
      </c>
      <c r="AH105" s="14">
        <f>IF($B105="","",IF($D105=CashLabel,"",SUMIFS($AE$5:$AE$204,$F$5:$F$204,$F105,$D$5:$D$204,"&lt;&gt;"&amp;CashLabel)/ConcDenomStr))</f>
        <v/>
      </c>
      <c r="AI105" s="14">
        <f>IF($B105="","",IF($D105=CashLabel,"",SUMIFS($AE$5:$AE$204,$D$5:$D$204,$D105,$D$5:$D$204,"&lt;&gt;"&amp;CashLabel)/ConcDenomStr))</f>
        <v/>
      </c>
      <c r="AJ105" s="15">
        <f>IF($B105="","",IF($D105=CashLabel,1,MIN(IF($AF105&gt;ThrSingle,ThrSingle/$AF105,1),IF($AG105&gt;ThrIssuer,ThrIssuer/$AG105,1),IF($AH105&gt;IFERROR(VLOOKUP($F105,CountryThr,2,FALSE),DefThrCountry),IFERROR(VLOOKUP($F105,CountryThr,2,FALSE),DefThrCountry)/$AH105,1),IF($AI105&gt;IFERROR(VLOOKUP($D105,LVTable,3,FALSE),DefThrAsset),IFERROR(VLOOKUP($D105,LVTable,3,FALSE),DefThrAsset)/$AI105,1))))</f>
        <v/>
      </c>
      <c r="AK105" s="33">
        <f>IF($B105="","",$AE105*$AJ105)</f>
        <v/>
      </c>
    </row>
    <row r="106">
      <c r="A106" s="16">
        <f>IF($B106="","",ROW()-4)</f>
        <v/>
      </c>
      <c r="B106" s="20" t="n"/>
      <c r="C106" s="20" t="n"/>
      <c r="D106" s="20" t="n"/>
      <c r="E106" s="20" t="n"/>
      <c r="F106" s="20" t="n"/>
      <c r="G106" s="20" t="n"/>
      <c r="H106" s="30" t="n"/>
      <c r="I106" s="30" t="n"/>
      <c r="J106" s="30" t="n"/>
      <c r="K106" s="31">
        <f>IF($B106="","",IF(ISNUMBER($J106),$J106,$I106))</f>
        <v/>
      </c>
      <c r="L106" s="32">
        <f>IF($B106="","",IFERROR(VLOOKUP($G106,FXRates,4,FALSE),1))</f>
        <v/>
      </c>
      <c r="M106" s="33">
        <f>IF($B106="","",$H106*$K106*$L106)</f>
        <v/>
      </c>
      <c r="N106" s="21" t="n"/>
      <c r="O106" s="14">
        <f>IF($B106="","",IF($D106=CashLabel,IF(ISNUMBER($N106),$N106,1),MIN(IF(ISNUMBER($N106),$N106,IFERROR(VLOOKUP($D106,LVTable,2,FALSE),0)),LVCap)))</f>
        <v/>
      </c>
      <c r="P106" s="25">
        <f>IF($B106="","",$M106*$O106)</f>
        <v/>
      </c>
      <c r="Q106" s="16">
        <f>IF($B106="","",IFERROR(VLOOKUP($G106,FXRates,5,FALSE),$G106))</f>
        <v/>
      </c>
      <c r="R106" s="14">
        <f>IF($B106="","",IF($D106=CashLabel,"",SUMIFS($P$5:$P$204,$B$5:$B$204,$B106,$D$5:$D$204,"&lt;&gt;"&amp;CashLabel)/ConcDenom))</f>
        <v/>
      </c>
      <c r="S106" s="14">
        <f>IF($B106="","",IF($D106=CashLabel,"",SUMIFS($P$5:$P$204,$E$5:$E$204,$E106,$D$5:$D$204,"&lt;&gt;"&amp;CashLabel)/ConcDenom))</f>
        <v/>
      </c>
      <c r="T106" s="14">
        <f>IF($B106="","",IF($D106=CashLabel,"",SUMIFS($P$5:$P$204,$F$5:$F$204,$F106,$D$5:$D$204,"&lt;&gt;"&amp;CashLabel)/ConcDenom))</f>
        <v/>
      </c>
      <c r="U106" s="14">
        <f>IF($B106="","",IF($D106=CashLabel,"",SUMIFS($P$5:$P$204,$D$5:$D$204,$D106,$D$5:$D$204,"&lt;&gt;"&amp;CashLabel)/ConcDenom))</f>
        <v/>
      </c>
      <c r="V106" s="15">
        <f>IF($B106="","",IF($D106=CashLabel,1,IF($R106&gt;ThrSingle,ThrSingle/$R106,1)))</f>
        <v/>
      </c>
      <c r="W106" s="15">
        <f>IF($B106="","",IF($D106=CashLabel,1,IF($S106&gt;ThrIssuer,ThrIssuer/$S106,1)))</f>
        <v/>
      </c>
      <c r="X106" s="15">
        <f>IF($B106="","",IF($D106=CashLabel,1,IF($T106&gt;IFERROR(VLOOKUP($F106,CountryThr,2,FALSE),DefThrCountry),IFERROR(VLOOKUP($F106,CountryThr,2,FALSE),DefThrCountry)/$T106,1)))</f>
        <v/>
      </c>
      <c r="Y106" s="15">
        <f>IF($B106="","",IF($D106=CashLabel,1,IF($U106&gt;IFERROR(VLOOKUP($D106,LVTable,3,FALSE),DefThrAsset),IFERROR(VLOOKUP($D106,LVTable,3,FALSE),DefThrAsset)/$U106,1)))</f>
        <v/>
      </c>
      <c r="Z106" s="34">
        <f>IF($B106="","",IF($D106=CashLabel,1,MIN($V106:$Y106)))</f>
        <v/>
      </c>
      <c r="AA106" s="25">
        <f>IF($B106="","",$P106*$Z106)</f>
        <v/>
      </c>
      <c r="AB106" s="33">
        <f>IF($B106="","",$P106-$AA106)</f>
        <v/>
      </c>
      <c r="AC106" s="21" t="n"/>
      <c r="AD106" s="33">
        <f>IF($B106="","",$M106*(1+IF(ISNUMBER($AC106),$AC106,0)))</f>
        <v/>
      </c>
      <c r="AE106" s="33">
        <f>IF($B106="","",$AD106*$O106)</f>
        <v/>
      </c>
      <c r="AF106" s="14">
        <f>IF($B106="","",IF($D106=CashLabel,"",SUMIFS($AE$5:$AE$204,$B$5:$B$204,$B106,$D$5:$D$204,"&lt;&gt;"&amp;CashLabel)/ConcDenomStr))</f>
        <v/>
      </c>
      <c r="AG106" s="14">
        <f>IF($B106="","",IF($D106=CashLabel,"",SUMIFS($AE$5:$AE$204,$E$5:$E$204,$E106,$D$5:$D$204,"&lt;&gt;"&amp;CashLabel)/ConcDenomStr))</f>
        <v/>
      </c>
      <c r="AH106" s="14">
        <f>IF($B106="","",IF($D106=CashLabel,"",SUMIFS($AE$5:$AE$204,$F$5:$F$204,$F106,$D$5:$D$204,"&lt;&gt;"&amp;CashLabel)/ConcDenomStr))</f>
        <v/>
      </c>
      <c r="AI106" s="14">
        <f>IF($B106="","",IF($D106=CashLabel,"",SUMIFS($AE$5:$AE$204,$D$5:$D$204,$D106,$D$5:$D$204,"&lt;&gt;"&amp;CashLabel)/ConcDenomStr))</f>
        <v/>
      </c>
      <c r="AJ106" s="15">
        <f>IF($B106="","",IF($D106=CashLabel,1,MIN(IF($AF106&gt;ThrSingle,ThrSingle/$AF106,1),IF($AG106&gt;ThrIssuer,ThrIssuer/$AG106,1),IF($AH106&gt;IFERROR(VLOOKUP($F106,CountryThr,2,FALSE),DefThrCountry),IFERROR(VLOOKUP($F106,CountryThr,2,FALSE),DefThrCountry)/$AH106,1),IF($AI106&gt;IFERROR(VLOOKUP($D106,LVTable,3,FALSE),DefThrAsset),IFERROR(VLOOKUP($D106,LVTable,3,FALSE),DefThrAsset)/$AI106,1))))</f>
        <v/>
      </c>
      <c r="AK106" s="33">
        <f>IF($B106="","",$AE106*$AJ106)</f>
        <v/>
      </c>
    </row>
    <row r="107">
      <c r="A107" s="16">
        <f>IF($B107="","",ROW()-4)</f>
        <v/>
      </c>
      <c r="B107" s="20" t="n"/>
      <c r="C107" s="20" t="n"/>
      <c r="D107" s="20" t="n"/>
      <c r="E107" s="20" t="n"/>
      <c r="F107" s="20" t="n"/>
      <c r="G107" s="20" t="n"/>
      <c r="H107" s="30" t="n"/>
      <c r="I107" s="30" t="n"/>
      <c r="J107" s="30" t="n"/>
      <c r="K107" s="31">
        <f>IF($B107="","",IF(ISNUMBER($J107),$J107,$I107))</f>
        <v/>
      </c>
      <c r="L107" s="32">
        <f>IF($B107="","",IFERROR(VLOOKUP($G107,FXRates,4,FALSE),1))</f>
        <v/>
      </c>
      <c r="M107" s="33">
        <f>IF($B107="","",$H107*$K107*$L107)</f>
        <v/>
      </c>
      <c r="N107" s="21" t="n"/>
      <c r="O107" s="14">
        <f>IF($B107="","",IF($D107=CashLabel,IF(ISNUMBER($N107),$N107,1),MIN(IF(ISNUMBER($N107),$N107,IFERROR(VLOOKUP($D107,LVTable,2,FALSE),0)),LVCap)))</f>
        <v/>
      </c>
      <c r="P107" s="25">
        <f>IF($B107="","",$M107*$O107)</f>
        <v/>
      </c>
      <c r="Q107" s="16">
        <f>IF($B107="","",IFERROR(VLOOKUP($G107,FXRates,5,FALSE),$G107))</f>
        <v/>
      </c>
      <c r="R107" s="14">
        <f>IF($B107="","",IF($D107=CashLabel,"",SUMIFS($P$5:$P$204,$B$5:$B$204,$B107,$D$5:$D$204,"&lt;&gt;"&amp;CashLabel)/ConcDenom))</f>
        <v/>
      </c>
      <c r="S107" s="14">
        <f>IF($B107="","",IF($D107=CashLabel,"",SUMIFS($P$5:$P$204,$E$5:$E$204,$E107,$D$5:$D$204,"&lt;&gt;"&amp;CashLabel)/ConcDenom))</f>
        <v/>
      </c>
      <c r="T107" s="14">
        <f>IF($B107="","",IF($D107=CashLabel,"",SUMIFS($P$5:$P$204,$F$5:$F$204,$F107,$D$5:$D$204,"&lt;&gt;"&amp;CashLabel)/ConcDenom))</f>
        <v/>
      </c>
      <c r="U107" s="14">
        <f>IF($B107="","",IF($D107=CashLabel,"",SUMIFS($P$5:$P$204,$D$5:$D$204,$D107,$D$5:$D$204,"&lt;&gt;"&amp;CashLabel)/ConcDenom))</f>
        <v/>
      </c>
      <c r="V107" s="15">
        <f>IF($B107="","",IF($D107=CashLabel,1,IF($R107&gt;ThrSingle,ThrSingle/$R107,1)))</f>
        <v/>
      </c>
      <c r="W107" s="15">
        <f>IF($B107="","",IF($D107=CashLabel,1,IF($S107&gt;ThrIssuer,ThrIssuer/$S107,1)))</f>
        <v/>
      </c>
      <c r="X107" s="15">
        <f>IF($B107="","",IF($D107=CashLabel,1,IF($T107&gt;IFERROR(VLOOKUP($F107,CountryThr,2,FALSE),DefThrCountry),IFERROR(VLOOKUP($F107,CountryThr,2,FALSE),DefThrCountry)/$T107,1)))</f>
        <v/>
      </c>
      <c r="Y107" s="15">
        <f>IF($B107="","",IF($D107=CashLabel,1,IF($U107&gt;IFERROR(VLOOKUP($D107,LVTable,3,FALSE),DefThrAsset),IFERROR(VLOOKUP($D107,LVTable,3,FALSE),DefThrAsset)/$U107,1)))</f>
        <v/>
      </c>
      <c r="Z107" s="34">
        <f>IF($B107="","",IF($D107=CashLabel,1,MIN($V107:$Y107)))</f>
        <v/>
      </c>
      <c r="AA107" s="25">
        <f>IF($B107="","",$P107*$Z107)</f>
        <v/>
      </c>
      <c r="AB107" s="33">
        <f>IF($B107="","",$P107-$AA107)</f>
        <v/>
      </c>
      <c r="AC107" s="21" t="n"/>
      <c r="AD107" s="33">
        <f>IF($B107="","",$M107*(1+IF(ISNUMBER($AC107),$AC107,0)))</f>
        <v/>
      </c>
      <c r="AE107" s="33">
        <f>IF($B107="","",$AD107*$O107)</f>
        <v/>
      </c>
      <c r="AF107" s="14">
        <f>IF($B107="","",IF($D107=CashLabel,"",SUMIFS($AE$5:$AE$204,$B$5:$B$204,$B107,$D$5:$D$204,"&lt;&gt;"&amp;CashLabel)/ConcDenomStr))</f>
        <v/>
      </c>
      <c r="AG107" s="14">
        <f>IF($B107="","",IF($D107=CashLabel,"",SUMIFS($AE$5:$AE$204,$E$5:$E$204,$E107,$D$5:$D$204,"&lt;&gt;"&amp;CashLabel)/ConcDenomStr))</f>
        <v/>
      </c>
      <c r="AH107" s="14">
        <f>IF($B107="","",IF($D107=CashLabel,"",SUMIFS($AE$5:$AE$204,$F$5:$F$204,$F107,$D$5:$D$204,"&lt;&gt;"&amp;CashLabel)/ConcDenomStr))</f>
        <v/>
      </c>
      <c r="AI107" s="14">
        <f>IF($B107="","",IF($D107=CashLabel,"",SUMIFS($AE$5:$AE$204,$D$5:$D$204,$D107,$D$5:$D$204,"&lt;&gt;"&amp;CashLabel)/ConcDenomStr))</f>
        <v/>
      </c>
      <c r="AJ107" s="15">
        <f>IF($B107="","",IF($D107=CashLabel,1,MIN(IF($AF107&gt;ThrSingle,ThrSingle/$AF107,1),IF($AG107&gt;ThrIssuer,ThrIssuer/$AG107,1),IF($AH107&gt;IFERROR(VLOOKUP($F107,CountryThr,2,FALSE),DefThrCountry),IFERROR(VLOOKUP($F107,CountryThr,2,FALSE),DefThrCountry)/$AH107,1),IF($AI107&gt;IFERROR(VLOOKUP($D107,LVTable,3,FALSE),DefThrAsset),IFERROR(VLOOKUP($D107,LVTable,3,FALSE),DefThrAsset)/$AI107,1))))</f>
        <v/>
      </c>
      <c r="AK107" s="33">
        <f>IF($B107="","",$AE107*$AJ107)</f>
        <v/>
      </c>
    </row>
    <row r="108">
      <c r="A108" s="16">
        <f>IF($B108="","",ROW()-4)</f>
        <v/>
      </c>
      <c r="B108" s="20" t="n"/>
      <c r="C108" s="20" t="n"/>
      <c r="D108" s="20" t="n"/>
      <c r="E108" s="20" t="n"/>
      <c r="F108" s="20" t="n"/>
      <c r="G108" s="20" t="n"/>
      <c r="H108" s="30" t="n"/>
      <c r="I108" s="30" t="n"/>
      <c r="J108" s="30" t="n"/>
      <c r="K108" s="31">
        <f>IF($B108="","",IF(ISNUMBER($J108),$J108,$I108))</f>
        <v/>
      </c>
      <c r="L108" s="32">
        <f>IF($B108="","",IFERROR(VLOOKUP($G108,FXRates,4,FALSE),1))</f>
        <v/>
      </c>
      <c r="M108" s="33">
        <f>IF($B108="","",$H108*$K108*$L108)</f>
        <v/>
      </c>
      <c r="N108" s="21" t="n"/>
      <c r="O108" s="14">
        <f>IF($B108="","",IF($D108=CashLabel,IF(ISNUMBER($N108),$N108,1),MIN(IF(ISNUMBER($N108),$N108,IFERROR(VLOOKUP($D108,LVTable,2,FALSE),0)),LVCap)))</f>
        <v/>
      </c>
      <c r="P108" s="25">
        <f>IF($B108="","",$M108*$O108)</f>
        <v/>
      </c>
      <c r="Q108" s="16">
        <f>IF($B108="","",IFERROR(VLOOKUP($G108,FXRates,5,FALSE),$G108))</f>
        <v/>
      </c>
      <c r="R108" s="14">
        <f>IF($B108="","",IF($D108=CashLabel,"",SUMIFS($P$5:$P$204,$B$5:$B$204,$B108,$D$5:$D$204,"&lt;&gt;"&amp;CashLabel)/ConcDenom))</f>
        <v/>
      </c>
      <c r="S108" s="14">
        <f>IF($B108="","",IF($D108=CashLabel,"",SUMIFS($P$5:$P$204,$E$5:$E$204,$E108,$D$5:$D$204,"&lt;&gt;"&amp;CashLabel)/ConcDenom))</f>
        <v/>
      </c>
      <c r="T108" s="14">
        <f>IF($B108="","",IF($D108=CashLabel,"",SUMIFS($P$5:$P$204,$F$5:$F$204,$F108,$D$5:$D$204,"&lt;&gt;"&amp;CashLabel)/ConcDenom))</f>
        <v/>
      </c>
      <c r="U108" s="14">
        <f>IF($B108="","",IF($D108=CashLabel,"",SUMIFS($P$5:$P$204,$D$5:$D$204,$D108,$D$5:$D$204,"&lt;&gt;"&amp;CashLabel)/ConcDenom))</f>
        <v/>
      </c>
      <c r="V108" s="15">
        <f>IF($B108="","",IF($D108=CashLabel,1,IF($R108&gt;ThrSingle,ThrSingle/$R108,1)))</f>
        <v/>
      </c>
      <c r="W108" s="15">
        <f>IF($B108="","",IF($D108=CashLabel,1,IF($S108&gt;ThrIssuer,ThrIssuer/$S108,1)))</f>
        <v/>
      </c>
      <c r="X108" s="15">
        <f>IF($B108="","",IF($D108=CashLabel,1,IF($T108&gt;IFERROR(VLOOKUP($F108,CountryThr,2,FALSE),DefThrCountry),IFERROR(VLOOKUP($F108,CountryThr,2,FALSE),DefThrCountry)/$T108,1)))</f>
        <v/>
      </c>
      <c r="Y108" s="15">
        <f>IF($B108="","",IF($D108=CashLabel,1,IF($U108&gt;IFERROR(VLOOKUP($D108,LVTable,3,FALSE),DefThrAsset),IFERROR(VLOOKUP($D108,LVTable,3,FALSE),DefThrAsset)/$U108,1)))</f>
        <v/>
      </c>
      <c r="Z108" s="34">
        <f>IF($B108="","",IF($D108=CashLabel,1,MIN($V108:$Y108)))</f>
        <v/>
      </c>
      <c r="AA108" s="25">
        <f>IF($B108="","",$P108*$Z108)</f>
        <v/>
      </c>
      <c r="AB108" s="33">
        <f>IF($B108="","",$P108-$AA108)</f>
        <v/>
      </c>
      <c r="AC108" s="21" t="n"/>
      <c r="AD108" s="33">
        <f>IF($B108="","",$M108*(1+IF(ISNUMBER($AC108),$AC108,0)))</f>
        <v/>
      </c>
      <c r="AE108" s="33">
        <f>IF($B108="","",$AD108*$O108)</f>
        <v/>
      </c>
      <c r="AF108" s="14">
        <f>IF($B108="","",IF($D108=CashLabel,"",SUMIFS($AE$5:$AE$204,$B$5:$B$204,$B108,$D$5:$D$204,"&lt;&gt;"&amp;CashLabel)/ConcDenomStr))</f>
        <v/>
      </c>
      <c r="AG108" s="14">
        <f>IF($B108="","",IF($D108=CashLabel,"",SUMIFS($AE$5:$AE$204,$E$5:$E$204,$E108,$D$5:$D$204,"&lt;&gt;"&amp;CashLabel)/ConcDenomStr))</f>
        <v/>
      </c>
      <c r="AH108" s="14">
        <f>IF($B108="","",IF($D108=CashLabel,"",SUMIFS($AE$5:$AE$204,$F$5:$F$204,$F108,$D$5:$D$204,"&lt;&gt;"&amp;CashLabel)/ConcDenomStr))</f>
        <v/>
      </c>
      <c r="AI108" s="14">
        <f>IF($B108="","",IF($D108=CashLabel,"",SUMIFS($AE$5:$AE$204,$D$5:$D$204,$D108,$D$5:$D$204,"&lt;&gt;"&amp;CashLabel)/ConcDenomStr))</f>
        <v/>
      </c>
      <c r="AJ108" s="15">
        <f>IF($B108="","",IF($D108=CashLabel,1,MIN(IF($AF108&gt;ThrSingle,ThrSingle/$AF108,1),IF($AG108&gt;ThrIssuer,ThrIssuer/$AG108,1),IF($AH108&gt;IFERROR(VLOOKUP($F108,CountryThr,2,FALSE),DefThrCountry),IFERROR(VLOOKUP($F108,CountryThr,2,FALSE),DefThrCountry)/$AH108,1),IF($AI108&gt;IFERROR(VLOOKUP($D108,LVTable,3,FALSE),DefThrAsset),IFERROR(VLOOKUP($D108,LVTable,3,FALSE),DefThrAsset)/$AI108,1))))</f>
        <v/>
      </c>
      <c r="AK108" s="33">
        <f>IF($B108="","",$AE108*$AJ108)</f>
        <v/>
      </c>
    </row>
    <row r="109">
      <c r="A109" s="16">
        <f>IF($B109="","",ROW()-4)</f>
        <v/>
      </c>
      <c r="B109" s="20" t="n"/>
      <c r="C109" s="20" t="n"/>
      <c r="D109" s="20" t="n"/>
      <c r="E109" s="20" t="n"/>
      <c r="F109" s="20" t="n"/>
      <c r="G109" s="20" t="n"/>
      <c r="H109" s="30" t="n"/>
      <c r="I109" s="30" t="n"/>
      <c r="J109" s="30" t="n"/>
      <c r="K109" s="31">
        <f>IF($B109="","",IF(ISNUMBER($J109),$J109,$I109))</f>
        <v/>
      </c>
      <c r="L109" s="32">
        <f>IF($B109="","",IFERROR(VLOOKUP($G109,FXRates,4,FALSE),1))</f>
        <v/>
      </c>
      <c r="M109" s="33">
        <f>IF($B109="","",$H109*$K109*$L109)</f>
        <v/>
      </c>
      <c r="N109" s="21" t="n"/>
      <c r="O109" s="14">
        <f>IF($B109="","",IF($D109=CashLabel,IF(ISNUMBER($N109),$N109,1),MIN(IF(ISNUMBER($N109),$N109,IFERROR(VLOOKUP($D109,LVTable,2,FALSE),0)),LVCap)))</f>
        <v/>
      </c>
      <c r="P109" s="25">
        <f>IF($B109="","",$M109*$O109)</f>
        <v/>
      </c>
      <c r="Q109" s="16">
        <f>IF($B109="","",IFERROR(VLOOKUP($G109,FXRates,5,FALSE),$G109))</f>
        <v/>
      </c>
      <c r="R109" s="14">
        <f>IF($B109="","",IF($D109=CashLabel,"",SUMIFS($P$5:$P$204,$B$5:$B$204,$B109,$D$5:$D$204,"&lt;&gt;"&amp;CashLabel)/ConcDenom))</f>
        <v/>
      </c>
      <c r="S109" s="14">
        <f>IF($B109="","",IF($D109=CashLabel,"",SUMIFS($P$5:$P$204,$E$5:$E$204,$E109,$D$5:$D$204,"&lt;&gt;"&amp;CashLabel)/ConcDenom))</f>
        <v/>
      </c>
      <c r="T109" s="14">
        <f>IF($B109="","",IF($D109=CashLabel,"",SUMIFS($P$5:$P$204,$F$5:$F$204,$F109,$D$5:$D$204,"&lt;&gt;"&amp;CashLabel)/ConcDenom))</f>
        <v/>
      </c>
      <c r="U109" s="14">
        <f>IF($B109="","",IF($D109=CashLabel,"",SUMIFS($P$5:$P$204,$D$5:$D$204,$D109,$D$5:$D$204,"&lt;&gt;"&amp;CashLabel)/ConcDenom))</f>
        <v/>
      </c>
      <c r="V109" s="15">
        <f>IF($B109="","",IF($D109=CashLabel,1,IF($R109&gt;ThrSingle,ThrSingle/$R109,1)))</f>
        <v/>
      </c>
      <c r="W109" s="15">
        <f>IF($B109="","",IF($D109=CashLabel,1,IF($S109&gt;ThrIssuer,ThrIssuer/$S109,1)))</f>
        <v/>
      </c>
      <c r="X109" s="15">
        <f>IF($B109="","",IF($D109=CashLabel,1,IF($T109&gt;IFERROR(VLOOKUP($F109,CountryThr,2,FALSE),DefThrCountry),IFERROR(VLOOKUP($F109,CountryThr,2,FALSE),DefThrCountry)/$T109,1)))</f>
        <v/>
      </c>
      <c r="Y109" s="15">
        <f>IF($B109="","",IF($D109=CashLabel,1,IF($U109&gt;IFERROR(VLOOKUP($D109,LVTable,3,FALSE),DefThrAsset),IFERROR(VLOOKUP($D109,LVTable,3,FALSE),DefThrAsset)/$U109,1)))</f>
        <v/>
      </c>
      <c r="Z109" s="34">
        <f>IF($B109="","",IF($D109=CashLabel,1,MIN($V109:$Y109)))</f>
        <v/>
      </c>
      <c r="AA109" s="25">
        <f>IF($B109="","",$P109*$Z109)</f>
        <v/>
      </c>
      <c r="AB109" s="33">
        <f>IF($B109="","",$P109-$AA109)</f>
        <v/>
      </c>
      <c r="AC109" s="21" t="n"/>
      <c r="AD109" s="33">
        <f>IF($B109="","",$M109*(1+IF(ISNUMBER($AC109),$AC109,0)))</f>
        <v/>
      </c>
      <c r="AE109" s="33">
        <f>IF($B109="","",$AD109*$O109)</f>
        <v/>
      </c>
      <c r="AF109" s="14">
        <f>IF($B109="","",IF($D109=CashLabel,"",SUMIFS($AE$5:$AE$204,$B$5:$B$204,$B109,$D$5:$D$204,"&lt;&gt;"&amp;CashLabel)/ConcDenomStr))</f>
        <v/>
      </c>
      <c r="AG109" s="14">
        <f>IF($B109="","",IF($D109=CashLabel,"",SUMIFS($AE$5:$AE$204,$E$5:$E$204,$E109,$D$5:$D$204,"&lt;&gt;"&amp;CashLabel)/ConcDenomStr))</f>
        <v/>
      </c>
      <c r="AH109" s="14">
        <f>IF($B109="","",IF($D109=CashLabel,"",SUMIFS($AE$5:$AE$204,$F$5:$F$204,$F109,$D$5:$D$204,"&lt;&gt;"&amp;CashLabel)/ConcDenomStr))</f>
        <v/>
      </c>
      <c r="AI109" s="14">
        <f>IF($B109="","",IF($D109=CashLabel,"",SUMIFS($AE$5:$AE$204,$D$5:$D$204,$D109,$D$5:$D$204,"&lt;&gt;"&amp;CashLabel)/ConcDenomStr))</f>
        <v/>
      </c>
      <c r="AJ109" s="15">
        <f>IF($B109="","",IF($D109=CashLabel,1,MIN(IF($AF109&gt;ThrSingle,ThrSingle/$AF109,1),IF($AG109&gt;ThrIssuer,ThrIssuer/$AG109,1),IF($AH109&gt;IFERROR(VLOOKUP($F109,CountryThr,2,FALSE),DefThrCountry),IFERROR(VLOOKUP($F109,CountryThr,2,FALSE),DefThrCountry)/$AH109,1),IF($AI109&gt;IFERROR(VLOOKUP($D109,LVTable,3,FALSE),DefThrAsset),IFERROR(VLOOKUP($D109,LVTable,3,FALSE),DefThrAsset)/$AI109,1))))</f>
        <v/>
      </c>
      <c r="AK109" s="33">
        <f>IF($B109="","",$AE109*$AJ109)</f>
        <v/>
      </c>
    </row>
    <row r="110">
      <c r="A110" s="16">
        <f>IF($B110="","",ROW()-4)</f>
        <v/>
      </c>
      <c r="B110" s="20" t="n"/>
      <c r="C110" s="20" t="n"/>
      <c r="D110" s="20" t="n"/>
      <c r="E110" s="20" t="n"/>
      <c r="F110" s="20" t="n"/>
      <c r="G110" s="20" t="n"/>
      <c r="H110" s="30" t="n"/>
      <c r="I110" s="30" t="n"/>
      <c r="J110" s="30" t="n"/>
      <c r="K110" s="31">
        <f>IF($B110="","",IF(ISNUMBER($J110),$J110,$I110))</f>
        <v/>
      </c>
      <c r="L110" s="32">
        <f>IF($B110="","",IFERROR(VLOOKUP($G110,FXRates,4,FALSE),1))</f>
        <v/>
      </c>
      <c r="M110" s="33">
        <f>IF($B110="","",$H110*$K110*$L110)</f>
        <v/>
      </c>
      <c r="N110" s="21" t="n"/>
      <c r="O110" s="14">
        <f>IF($B110="","",IF($D110=CashLabel,IF(ISNUMBER($N110),$N110,1),MIN(IF(ISNUMBER($N110),$N110,IFERROR(VLOOKUP($D110,LVTable,2,FALSE),0)),LVCap)))</f>
        <v/>
      </c>
      <c r="P110" s="25">
        <f>IF($B110="","",$M110*$O110)</f>
        <v/>
      </c>
      <c r="Q110" s="16">
        <f>IF($B110="","",IFERROR(VLOOKUP($G110,FXRates,5,FALSE),$G110))</f>
        <v/>
      </c>
      <c r="R110" s="14">
        <f>IF($B110="","",IF($D110=CashLabel,"",SUMIFS($P$5:$P$204,$B$5:$B$204,$B110,$D$5:$D$204,"&lt;&gt;"&amp;CashLabel)/ConcDenom))</f>
        <v/>
      </c>
      <c r="S110" s="14">
        <f>IF($B110="","",IF($D110=CashLabel,"",SUMIFS($P$5:$P$204,$E$5:$E$204,$E110,$D$5:$D$204,"&lt;&gt;"&amp;CashLabel)/ConcDenom))</f>
        <v/>
      </c>
      <c r="T110" s="14">
        <f>IF($B110="","",IF($D110=CashLabel,"",SUMIFS($P$5:$P$204,$F$5:$F$204,$F110,$D$5:$D$204,"&lt;&gt;"&amp;CashLabel)/ConcDenom))</f>
        <v/>
      </c>
      <c r="U110" s="14">
        <f>IF($B110="","",IF($D110=CashLabel,"",SUMIFS($P$5:$P$204,$D$5:$D$204,$D110,$D$5:$D$204,"&lt;&gt;"&amp;CashLabel)/ConcDenom))</f>
        <v/>
      </c>
      <c r="V110" s="15">
        <f>IF($B110="","",IF($D110=CashLabel,1,IF($R110&gt;ThrSingle,ThrSingle/$R110,1)))</f>
        <v/>
      </c>
      <c r="W110" s="15">
        <f>IF($B110="","",IF($D110=CashLabel,1,IF($S110&gt;ThrIssuer,ThrIssuer/$S110,1)))</f>
        <v/>
      </c>
      <c r="X110" s="15">
        <f>IF($B110="","",IF($D110=CashLabel,1,IF($T110&gt;IFERROR(VLOOKUP($F110,CountryThr,2,FALSE),DefThrCountry),IFERROR(VLOOKUP($F110,CountryThr,2,FALSE),DefThrCountry)/$T110,1)))</f>
        <v/>
      </c>
      <c r="Y110" s="15">
        <f>IF($B110="","",IF($D110=CashLabel,1,IF($U110&gt;IFERROR(VLOOKUP($D110,LVTable,3,FALSE),DefThrAsset),IFERROR(VLOOKUP($D110,LVTable,3,FALSE),DefThrAsset)/$U110,1)))</f>
        <v/>
      </c>
      <c r="Z110" s="34">
        <f>IF($B110="","",IF($D110=CashLabel,1,MIN($V110:$Y110)))</f>
        <v/>
      </c>
      <c r="AA110" s="25">
        <f>IF($B110="","",$P110*$Z110)</f>
        <v/>
      </c>
      <c r="AB110" s="33">
        <f>IF($B110="","",$P110-$AA110)</f>
        <v/>
      </c>
      <c r="AC110" s="21" t="n"/>
      <c r="AD110" s="33">
        <f>IF($B110="","",$M110*(1+IF(ISNUMBER($AC110),$AC110,0)))</f>
        <v/>
      </c>
      <c r="AE110" s="33">
        <f>IF($B110="","",$AD110*$O110)</f>
        <v/>
      </c>
      <c r="AF110" s="14">
        <f>IF($B110="","",IF($D110=CashLabel,"",SUMIFS($AE$5:$AE$204,$B$5:$B$204,$B110,$D$5:$D$204,"&lt;&gt;"&amp;CashLabel)/ConcDenomStr))</f>
        <v/>
      </c>
      <c r="AG110" s="14">
        <f>IF($B110="","",IF($D110=CashLabel,"",SUMIFS($AE$5:$AE$204,$E$5:$E$204,$E110,$D$5:$D$204,"&lt;&gt;"&amp;CashLabel)/ConcDenomStr))</f>
        <v/>
      </c>
      <c r="AH110" s="14">
        <f>IF($B110="","",IF($D110=CashLabel,"",SUMIFS($AE$5:$AE$204,$F$5:$F$204,$F110,$D$5:$D$204,"&lt;&gt;"&amp;CashLabel)/ConcDenomStr))</f>
        <v/>
      </c>
      <c r="AI110" s="14">
        <f>IF($B110="","",IF($D110=CashLabel,"",SUMIFS($AE$5:$AE$204,$D$5:$D$204,$D110,$D$5:$D$204,"&lt;&gt;"&amp;CashLabel)/ConcDenomStr))</f>
        <v/>
      </c>
      <c r="AJ110" s="15">
        <f>IF($B110="","",IF($D110=CashLabel,1,MIN(IF($AF110&gt;ThrSingle,ThrSingle/$AF110,1),IF($AG110&gt;ThrIssuer,ThrIssuer/$AG110,1),IF($AH110&gt;IFERROR(VLOOKUP($F110,CountryThr,2,FALSE),DefThrCountry),IFERROR(VLOOKUP($F110,CountryThr,2,FALSE),DefThrCountry)/$AH110,1),IF($AI110&gt;IFERROR(VLOOKUP($D110,LVTable,3,FALSE),DefThrAsset),IFERROR(VLOOKUP($D110,LVTable,3,FALSE),DefThrAsset)/$AI110,1))))</f>
        <v/>
      </c>
      <c r="AK110" s="33">
        <f>IF($B110="","",$AE110*$AJ110)</f>
        <v/>
      </c>
    </row>
    <row r="111">
      <c r="A111" s="16">
        <f>IF($B111="","",ROW()-4)</f>
        <v/>
      </c>
      <c r="B111" s="20" t="n"/>
      <c r="C111" s="20" t="n"/>
      <c r="D111" s="20" t="n"/>
      <c r="E111" s="20" t="n"/>
      <c r="F111" s="20" t="n"/>
      <c r="G111" s="20" t="n"/>
      <c r="H111" s="30" t="n"/>
      <c r="I111" s="30" t="n"/>
      <c r="J111" s="30" t="n"/>
      <c r="K111" s="31">
        <f>IF($B111="","",IF(ISNUMBER($J111),$J111,$I111))</f>
        <v/>
      </c>
      <c r="L111" s="32">
        <f>IF($B111="","",IFERROR(VLOOKUP($G111,FXRates,4,FALSE),1))</f>
        <v/>
      </c>
      <c r="M111" s="33">
        <f>IF($B111="","",$H111*$K111*$L111)</f>
        <v/>
      </c>
      <c r="N111" s="21" t="n"/>
      <c r="O111" s="14">
        <f>IF($B111="","",IF($D111=CashLabel,IF(ISNUMBER($N111),$N111,1),MIN(IF(ISNUMBER($N111),$N111,IFERROR(VLOOKUP($D111,LVTable,2,FALSE),0)),LVCap)))</f>
        <v/>
      </c>
      <c r="P111" s="25">
        <f>IF($B111="","",$M111*$O111)</f>
        <v/>
      </c>
      <c r="Q111" s="16">
        <f>IF($B111="","",IFERROR(VLOOKUP($G111,FXRates,5,FALSE),$G111))</f>
        <v/>
      </c>
      <c r="R111" s="14">
        <f>IF($B111="","",IF($D111=CashLabel,"",SUMIFS($P$5:$P$204,$B$5:$B$204,$B111,$D$5:$D$204,"&lt;&gt;"&amp;CashLabel)/ConcDenom))</f>
        <v/>
      </c>
      <c r="S111" s="14">
        <f>IF($B111="","",IF($D111=CashLabel,"",SUMIFS($P$5:$P$204,$E$5:$E$204,$E111,$D$5:$D$204,"&lt;&gt;"&amp;CashLabel)/ConcDenom))</f>
        <v/>
      </c>
      <c r="T111" s="14">
        <f>IF($B111="","",IF($D111=CashLabel,"",SUMIFS($P$5:$P$204,$F$5:$F$204,$F111,$D$5:$D$204,"&lt;&gt;"&amp;CashLabel)/ConcDenom))</f>
        <v/>
      </c>
      <c r="U111" s="14">
        <f>IF($B111="","",IF($D111=CashLabel,"",SUMIFS($P$5:$P$204,$D$5:$D$204,$D111,$D$5:$D$204,"&lt;&gt;"&amp;CashLabel)/ConcDenom))</f>
        <v/>
      </c>
      <c r="V111" s="15">
        <f>IF($B111="","",IF($D111=CashLabel,1,IF($R111&gt;ThrSingle,ThrSingle/$R111,1)))</f>
        <v/>
      </c>
      <c r="W111" s="15">
        <f>IF($B111="","",IF($D111=CashLabel,1,IF($S111&gt;ThrIssuer,ThrIssuer/$S111,1)))</f>
        <v/>
      </c>
      <c r="X111" s="15">
        <f>IF($B111="","",IF($D111=CashLabel,1,IF($T111&gt;IFERROR(VLOOKUP($F111,CountryThr,2,FALSE),DefThrCountry),IFERROR(VLOOKUP($F111,CountryThr,2,FALSE),DefThrCountry)/$T111,1)))</f>
        <v/>
      </c>
      <c r="Y111" s="15">
        <f>IF($B111="","",IF($D111=CashLabel,1,IF($U111&gt;IFERROR(VLOOKUP($D111,LVTable,3,FALSE),DefThrAsset),IFERROR(VLOOKUP($D111,LVTable,3,FALSE),DefThrAsset)/$U111,1)))</f>
        <v/>
      </c>
      <c r="Z111" s="34">
        <f>IF($B111="","",IF($D111=CashLabel,1,MIN($V111:$Y111)))</f>
        <v/>
      </c>
      <c r="AA111" s="25">
        <f>IF($B111="","",$P111*$Z111)</f>
        <v/>
      </c>
      <c r="AB111" s="33">
        <f>IF($B111="","",$P111-$AA111)</f>
        <v/>
      </c>
      <c r="AC111" s="21" t="n"/>
      <c r="AD111" s="33">
        <f>IF($B111="","",$M111*(1+IF(ISNUMBER($AC111),$AC111,0)))</f>
        <v/>
      </c>
      <c r="AE111" s="33">
        <f>IF($B111="","",$AD111*$O111)</f>
        <v/>
      </c>
      <c r="AF111" s="14">
        <f>IF($B111="","",IF($D111=CashLabel,"",SUMIFS($AE$5:$AE$204,$B$5:$B$204,$B111,$D$5:$D$204,"&lt;&gt;"&amp;CashLabel)/ConcDenomStr))</f>
        <v/>
      </c>
      <c r="AG111" s="14">
        <f>IF($B111="","",IF($D111=CashLabel,"",SUMIFS($AE$5:$AE$204,$E$5:$E$204,$E111,$D$5:$D$204,"&lt;&gt;"&amp;CashLabel)/ConcDenomStr))</f>
        <v/>
      </c>
      <c r="AH111" s="14">
        <f>IF($B111="","",IF($D111=CashLabel,"",SUMIFS($AE$5:$AE$204,$F$5:$F$204,$F111,$D$5:$D$204,"&lt;&gt;"&amp;CashLabel)/ConcDenomStr))</f>
        <v/>
      </c>
      <c r="AI111" s="14">
        <f>IF($B111="","",IF($D111=CashLabel,"",SUMIFS($AE$5:$AE$204,$D$5:$D$204,$D111,$D$5:$D$204,"&lt;&gt;"&amp;CashLabel)/ConcDenomStr))</f>
        <v/>
      </c>
      <c r="AJ111" s="15">
        <f>IF($B111="","",IF($D111=CashLabel,1,MIN(IF($AF111&gt;ThrSingle,ThrSingle/$AF111,1),IF($AG111&gt;ThrIssuer,ThrIssuer/$AG111,1),IF($AH111&gt;IFERROR(VLOOKUP($F111,CountryThr,2,FALSE),DefThrCountry),IFERROR(VLOOKUP($F111,CountryThr,2,FALSE),DefThrCountry)/$AH111,1),IF($AI111&gt;IFERROR(VLOOKUP($D111,LVTable,3,FALSE),DefThrAsset),IFERROR(VLOOKUP($D111,LVTable,3,FALSE),DefThrAsset)/$AI111,1))))</f>
        <v/>
      </c>
      <c r="AK111" s="33">
        <f>IF($B111="","",$AE111*$AJ111)</f>
        <v/>
      </c>
    </row>
    <row r="112">
      <c r="A112" s="16">
        <f>IF($B112="","",ROW()-4)</f>
        <v/>
      </c>
      <c r="B112" s="20" t="n"/>
      <c r="C112" s="20" t="n"/>
      <c r="D112" s="20" t="n"/>
      <c r="E112" s="20" t="n"/>
      <c r="F112" s="20" t="n"/>
      <c r="G112" s="20" t="n"/>
      <c r="H112" s="30" t="n"/>
      <c r="I112" s="30" t="n"/>
      <c r="J112" s="30" t="n"/>
      <c r="K112" s="31">
        <f>IF($B112="","",IF(ISNUMBER($J112),$J112,$I112))</f>
        <v/>
      </c>
      <c r="L112" s="32">
        <f>IF($B112="","",IFERROR(VLOOKUP($G112,FXRates,4,FALSE),1))</f>
        <v/>
      </c>
      <c r="M112" s="33">
        <f>IF($B112="","",$H112*$K112*$L112)</f>
        <v/>
      </c>
      <c r="N112" s="21" t="n"/>
      <c r="O112" s="14">
        <f>IF($B112="","",IF($D112=CashLabel,IF(ISNUMBER($N112),$N112,1),MIN(IF(ISNUMBER($N112),$N112,IFERROR(VLOOKUP($D112,LVTable,2,FALSE),0)),LVCap)))</f>
        <v/>
      </c>
      <c r="P112" s="25">
        <f>IF($B112="","",$M112*$O112)</f>
        <v/>
      </c>
      <c r="Q112" s="16">
        <f>IF($B112="","",IFERROR(VLOOKUP($G112,FXRates,5,FALSE),$G112))</f>
        <v/>
      </c>
      <c r="R112" s="14">
        <f>IF($B112="","",IF($D112=CashLabel,"",SUMIFS($P$5:$P$204,$B$5:$B$204,$B112,$D$5:$D$204,"&lt;&gt;"&amp;CashLabel)/ConcDenom))</f>
        <v/>
      </c>
      <c r="S112" s="14">
        <f>IF($B112="","",IF($D112=CashLabel,"",SUMIFS($P$5:$P$204,$E$5:$E$204,$E112,$D$5:$D$204,"&lt;&gt;"&amp;CashLabel)/ConcDenom))</f>
        <v/>
      </c>
      <c r="T112" s="14">
        <f>IF($B112="","",IF($D112=CashLabel,"",SUMIFS($P$5:$P$204,$F$5:$F$204,$F112,$D$5:$D$204,"&lt;&gt;"&amp;CashLabel)/ConcDenom))</f>
        <v/>
      </c>
      <c r="U112" s="14">
        <f>IF($B112="","",IF($D112=CashLabel,"",SUMIFS($P$5:$P$204,$D$5:$D$204,$D112,$D$5:$D$204,"&lt;&gt;"&amp;CashLabel)/ConcDenom))</f>
        <v/>
      </c>
      <c r="V112" s="15">
        <f>IF($B112="","",IF($D112=CashLabel,1,IF($R112&gt;ThrSingle,ThrSingle/$R112,1)))</f>
        <v/>
      </c>
      <c r="W112" s="15">
        <f>IF($B112="","",IF($D112=CashLabel,1,IF($S112&gt;ThrIssuer,ThrIssuer/$S112,1)))</f>
        <v/>
      </c>
      <c r="X112" s="15">
        <f>IF($B112="","",IF($D112=CashLabel,1,IF($T112&gt;IFERROR(VLOOKUP($F112,CountryThr,2,FALSE),DefThrCountry),IFERROR(VLOOKUP($F112,CountryThr,2,FALSE),DefThrCountry)/$T112,1)))</f>
        <v/>
      </c>
      <c r="Y112" s="15">
        <f>IF($B112="","",IF($D112=CashLabel,1,IF($U112&gt;IFERROR(VLOOKUP($D112,LVTable,3,FALSE),DefThrAsset),IFERROR(VLOOKUP($D112,LVTable,3,FALSE),DefThrAsset)/$U112,1)))</f>
        <v/>
      </c>
      <c r="Z112" s="34">
        <f>IF($B112="","",IF($D112=CashLabel,1,MIN($V112:$Y112)))</f>
        <v/>
      </c>
      <c r="AA112" s="25">
        <f>IF($B112="","",$P112*$Z112)</f>
        <v/>
      </c>
      <c r="AB112" s="33">
        <f>IF($B112="","",$P112-$AA112)</f>
        <v/>
      </c>
      <c r="AC112" s="21" t="n"/>
      <c r="AD112" s="33">
        <f>IF($B112="","",$M112*(1+IF(ISNUMBER($AC112),$AC112,0)))</f>
        <v/>
      </c>
      <c r="AE112" s="33">
        <f>IF($B112="","",$AD112*$O112)</f>
        <v/>
      </c>
      <c r="AF112" s="14">
        <f>IF($B112="","",IF($D112=CashLabel,"",SUMIFS($AE$5:$AE$204,$B$5:$B$204,$B112,$D$5:$D$204,"&lt;&gt;"&amp;CashLabel)/ConcDenomStr))</f>
        <v/>
      </c>
      <c r="AG112" s="14">
        <f>IF($B112="","",IF($D112=CashLabel,"",SUMIFS($AE$5:$AE$204,$E$5:$E$204,$E112,$D$5:$D$204,"&lt;&gt;"&amp;CashLabel)/ConcDenomStr))</f>
        <v/>
      </c>
      <c r="AH112" s="14">
        <f>IF($B112="","",IF($D112=CashLabel,"",SUMIFS($AE$5:$AE$204,$F$5:$F$204,$F112,$D$5:$D$204,"&lt;&gt;"&amp;CashLabel)/ConcDenomStr))</f>
        <v/>
      </c>
      <c r="AI112" s="14">
        <f>IF($B112="","",IF($D112=CashLabel,"",SUMIFS($AE$5:$AE$204,$D$5:$D$204,$D112,$D$5:$D$204,"&lt;&gt;"&amp;CashLabel)/ConcDenomStr))</f>
        <v/>
      </c>
      <c r="AJ112" s="15">
        <f>IF($B112="","",IF($D112=CashLabel,1,MIN(IF($AF112&gt;ThrSingle,ThrSingle/$AF112,1),IF($AG112&gt;ThrIssuer,ThrIssuer/$AG112,1),IF($AH112&gt;IFERROR(VLOOKUP($F112,CountryThr,2,FALSE),DefThrCountry),IFERROR(VLOOKUP($F112,CountryThr,2,FALSE),DefThrCountry)/$AH112,1),IF($AI112&gt;IFERROR(VLOOKUP($D112,LVTable,3,FALSE),DefThrAsset),IFERROR(VLOOKUP($D112,LVTable,3,FALSE),DefThrAsset)/$AI112,1))))</f>
        <v/>
      </c>
      <c r="AK112" s="33">
        <f>IF($B112="","",$AE112*$AJ112)</f>
        <v/>
      </c>
    </row>
    <row r="113">
      <c r="A113" s="16">
        <f>IF($B113="","",ROW()-4)</f>
        <v/>
      </c>
      <c r="B113" s="20" t="n"/>
      <c r="C113" s="20" t="n"/>
      <c r="D113" s="20" t="n"/>
      <c r="E113" s="20" t="n"/>
      <c r="F113" s="20" t="n"/>
      <c r="G113" s="20" t="n"/>
      <c r="H113" s="30" t="n"/>
      <c r="I113" s="30" t="n"/>
      <c r="J113" s="30" t="n"/>
      <c r="K113" s="31">
        <f>IF($B113="","",IF(ISNUMBER($J113),$J113,$I113))</f>
        <v/>
      </c>
      <c r="L113" s="32">
        <f>IF($B113="","",IFERROR(VLOOKUP($G113,FXRates,4,FALSE),1))</f>
        <v/>
      </c>
      <c r="M113" s="33">
        <f>IF($B113="","",$H113*$K113*$L113)</f>
        <v/>
      </c>
      <c r="N113" s="21" t="n"/>
      <c r="O113" s="14">
        <f>IF($B113="","",IF($D113=CashLabel,IF(ISNUMBER($N113),$N113,1),MIN(IF(ISNUMBER($N113),$N113,IFERROR(VLOOKUP($D113,LVTable,2,FALSE),0)),LVCap)))</f>
        <v/>
      </c>
      <c r="P113" s="25">
        <f>IF($B113="","",$M113*$O113)</f>
        <v/>
      </c>
      <c r="Q113" s="16">
        <f>IF($B113="","",IFERROR(VLOOKUP($G113,FXRates,5,FALSE),$G113))</f>
        <v/>
      </c>
      <c r="R113" s="14">
        <f>IF($B113="","",IF($D113=CashLabel,"",SUMIFS($P$5:$P$204,$B$5:$B$204,$B113,$D$5:$D$204,"&lt;&gt;"&amp;CashLabel)/ConcDenom))</f>
        <v/>
      </c>
      <c r="S113" s="14">
        <f>IF($B113="","",IF($D113=CashLabel,"",SUMIFS($P$5:$P$204,$E$5:$E$204,$E113,$D$5:$D$204,"&lt;&gt;"&amp;CashLabel)/ConcDenom))</f>
        <v/>
      </c>
      <c r="T113" s="14">
        <f>IF($B113="","",IF($D113=CashLabel,"",SUMIFS($P$5:$P$204,$F$5:$F$204,$F113,$D$5:$D$204,"&lt;&gt;"&amp;CashLabel)/ConcDenom))</f>
        <v/>
      </c>
      <c r="U113" s="14">
        <f>IF($B113="","",IF($D113=CashLabel,"",SUMIFS($P$5:$P$204,$D$5:$D$204,$D113,$D$5:$D$204,"&lt;&gt;"&amp;CashLabel)/ConcDenom))</f>
        <v/>
      </c>
      <c r="V113" s="15">
        <f>IF($B113="","",IF($D113=CashLabel,1,IF($R113&gt;ThrSingle,ThrSingle/$R113,1)))</f>
        <v/>
      </c>
      <c r="W113" s="15">
        <f>IF($B113="","",IF($D113=CashLabel,1,IF($S113&gt;ThrIssuer,ThrIssuer/$S113,1)))</f>
        <v/>
      </c>
      <c r="X113" s="15">
        <f>IF($B113="","",IF($D113=CashLabel,1,IF($T113&gt;IFERROR(VLOOKUP($F113,CountryThr,2,FALSE),DefThrCountry),IFERROR(VLOOKUP($F113,CountryThr,2,FALSE),DefThrCountry)/$T113,1)))</f>
        <v/>
      </c>
      <c r="Y113" s="15">
        <f>IF($B113="","",IF($D113=CashLabel,1,IF($U113&gt;IFERROR(VLOOKUP($D113,LVTable,3,FALSE),DefThrAsset),IFERROR(VLOOKUP($D113,LVTable,3,FALSE),DefThrAsset)/$U113,1)))</f>
        <v/>
      </c>
      <c r="Z113" s="34">
        <f>IF($B113="","",IF($D113=CashLabel,1,MIN($V113:$Y113)))</f>
        <v/>
      </c>
      <c r="AA113" s="25">
        <f>IF($B113="","",$P113*$Z113)</f>
        <v/>
      </c>
      <c r="AB113" s="33">
        <f>IF($B113="","",$P113-$AA113)</f>
        <v/>
      </c>
      <c r="AC113" s="21" t="n"/>
      <c r="AD113" s="33">
        <f>IF($B113="","",$M113*(1+IF(ISNUMBER($AC113),$AC113,0)))</f>
        <v/>
      </c>
      <c r="AE113" s="33">
        <f>IF($B113="","",$AD113*$O113)</f>
        <v/>
      </c>
      <c r="AF113" s="14">
        <f>IF($B113="","",IF($D113=CashLabel,"",SUMIFS($AE$5:$AE$204,$B$5:$B$204,$B113,$D$5:$D$204,"&lt;&gt;"&amp;CashLabel)/ConcDenomStr))</f>
        <v/>
      </c>
      <c r="AG113" s="14">
        <f>IF($B113="","",IF($D113=CashLabel,"",SUMIFS($AE$5:$AE$204,$E$5:$E$204,$E113,$D$5:$D$204,"&lt;&gt;"&amp;CashLabel)/ConcDenomStr))</f>
        <v/>
      </c>
      <c r="AH113" s="14">
        <f>IF($B113="","",IF($D113=CashLabel,"",SUMIFS($AE$5:$AE$204,$F$5:$F$204,$F113,$D$5:$D$204,"&lt;&gt;"&amp;CashLabel)/ConcDenomStr))</f>
        <v/>
      </c>
      <c r="AI113" s="14">
        <f>IF($B113="","",IF($D113=CashLabel,"",SUMIFS($AE$5:$AE$204,$D$5:$D$204,$D113,$D$5:$D$204,"&lt;&gt;"&amp;CashLabel)/ConcDenomStr))</f>
        <v/>
      </c>
      <c r="AJ113" s="15">
        <f>IF($B113="","",IF($D113=CashLabel,1,MIN(IF($AF113&gt;ThrSingle,ThrSingle/$AF113,1),IF($AG113&gt;ThrIssuer,ThrIssuer/$AG113,1),IF($AH113&gt;IFERROR(VLOOKUP($F113,CountryThr,2,FALSE),DefThrCountry),IFERROR(VLOOKUP($F113,CountryThr,2,FALSE),DefThrCountry)/$AH113,1),IF($AI113&gt;IFERROR(VLOOKUP($D113,LVTable,3,FALSE),DefThrAsset),IFERROR(VLOOKUP($D113,LVTable,3,FALSE),DefThrAsset)/$AI113,1))))</f>
        <v/>
      </c>
      <c r="AK113" s="33">
        <f>IF($B113="","",$AE113*$AJ113)</f>
        <v/>
      </c>
    </row>
    <row r="114">
      <c r="A114" s="16">
        <f>IF($B114="","",ROW()-4)</f>
        <v/>
      </c>
      <c r="B114" s="20" t="n"/>
      <c r="C114" s="20" t="n"/>
      <c r="D114" s="20" t="n"/>
      <c r="E114" s="20" t="n"/>
      <c r="F114" s="20" t="n"/>
      <c r="G114" s="20" t="n"/>
      <c r="H114" s="30" t="n"/>
      <c r="I114" s="30" t="n"/>
      <c r="J114" s="30" t="n"/>
      <c r="K114" s="31">
        <f>IF($B114="","",IF(ISNUMBER($J114),$J114,$I114))</f>
        <v/>
      </c>
      <c r="L114" s="32">
        <f>IF($B114="","",IFERROR(VLOOKUP($G114,FXRates,4,FALSE),1))</f>
        <v/>
      </c>
      <c r="M114" s="33">
        <f>IF($B114="","",$H114*$K114*$L114)</f>
        <v/>
      </c>
      <c r="N114" s="21" t="n"/>
      <c r="O114" s="14">
        <f>IF($B114="","",IF($D114=CashLabel,IF(ISNUMBER($N114),$N114,1),MIN(IF(ISNUMBER($N114),$N114,IFERROR(VLOOKUP($D114,LVTable,2,FALSE),0)),LVCap)))</f>
        <v/>
      </c>
      <c r="P114" s="25">
        <f>IF($B114="","",$M114*$O114)</f>
        <v/>
      </c>
      <c r="Q114" s="16">
        <f>IF($B114="","",IFERROR(VLOOKUP($G114,FXRates,5,FALSE),$G114))</f>
        <v/>
      </c>
      <c r="R114" s="14">
        <f>IF($B114="","",IF($D114=CashLabel,"",SUMIFS($P$5:$P$204,$B$5:$B$204,$B114,$D$5:$D$204,"&lt;&gt;"&amp;CashLabel)/ConcDenom))</f>
        <v/>
      </c>
      <c r="S114" s="14">
        <f>IF($B114="","",IF($D114=CashLabel,"",SUMIFS($P$5:$P$204,$E$5:$E$204,$E114,$D$5:$D$204,"&lt;&gt;"&amp;CashLabel)/ConcDenom))</f>
        <v/>
      </c>
      <c r="T114" s="14">
        <f>IF($B114="","",IF($D114=CashLabel,"",SUMIFS($P$5:$P$204,$F$5:$F$204,$F114,$D$5:$D$204,"&lt;&gt;"&amp;CashLabel)/ConcDenom))</f>
        <v/>
      </c>
      <c r="U114" s="14">
        <f>IF($B114="","",IF($D114=CashLabel,"",SUMIFS($P$5:$P$204,$D$5:$D$204,$D114,$D$5:$D$204,"&lt;&gt;"&amp;CashLabel)/ConcDenom))</f>
        <v/>
      </c>
      <c r="V114" s="15">
        <f>IF($B114="","",IF($D114=CashLabel,1,IF($R114&gt;ThrSingle,ThrSingle/$R114,1)))</f>
        <v/>
      </c>
      <c r="W114" s="15">
        <f>IF($B114="","",IF($D114=CashLabel,1,IF($S114&gt;ThrIssuer,ThrIssuer/$S114,1)))</f>
        <v/>
      </c>
      <c r="X114" s="15">
        <f>IF($B114="","",IF($D114=CashLabel,1,IF($T114&gt;IFERROR(VLOOKUP($F114,CountryThr,2,FALSE),DefThrCountry),IFERROR(VLOOKUP($F114,CountryThr,2,FALSE),DefThrCountry)/$T114,1)))</f>
        <v/>
      </c>
      <c r="Y114" s="15">
        <f>IF($B114="","",IF($D114=CashLabel,1,IF($U114&gt;IFERROR(VLOOKUP($D114,LVTable,3,FALSE),DefThrAsset),IFERROR(VLOOKUP($D114,LVTable,3,FALSE),DefThrAsset)/$U114,1)))</f>
        <v/>
      </c>
      <c r="Z114" s="34">
        <f>IF($B114="","",IF($D114=CashLabel,1,MIN($V114:$Y114)))</f>
        <v/>
      </c>
      <c r="AA114" s="25">
        <f>IF($B114="","",$P114*$Z114)</f>
        <v/>
      </c>
      <c r="AB114" s="33">
        <f>IF($B114="","",$P114-$AA114)</f>
        <v/>
      </c>
      <c r="AC114" s="21" t="n"/>
      <c r="AD114" s="33">
        <f>IF($B114="","",$M114*(1+IF(ISNUMBER($AC114),$AC114,0)))</f>
        <v/>
      </c>
      <c r="AE114" s="33">
        <f>IF($B114="","",$AD114*$O114)</f>
        <v/>
      </c>
      <c r="AF114" s="14">
        <f>IF($B114="","",IF($D114=CashLabel,"",SUMIFS($AE$5:$AE$204,$B$5:$B$204,$B114,$D$5:$D$204,"&lt;&gt;"&amp;CashLabel)/ConcDenomStr))</f>
        <v/>
      </c>
      <c r="AG114" s="14">
        <f>IF($B114="","",IF($D114=CashLabel,"",SUMIFS($AE$5:$AE$204,$E$5:$E$204,$E114,$D$5:$D$204,"&lt;&gt;"&amp;CashLabel)/ConcDenomStr))</f>
        <v/>
      </c>
      <c r="AH114" s="14">
        <f>IF($B114="","",IF($D114=CashLabel,"",SUMIFS($AE$5:$AE$204,$F$5:$F$204,$F114,$D$5:$D$204,"&lt;&gt;"&amp;CashLabel)/ConcDenomStr))</f>
        <v/>
      </c>
      <c r="AI114" s="14">
        <f>IF($B114="","",IF($D114=CashLabel,"",SUMIFS($AE$5:$AE$204,$D$5:$D$204,$D114,$D$5:$D$204,"&lt;&gt;"&amp;CashLabel)/ConcDenomStr))</f>
        <v/>
      </c>
      <c r="AJ114" s="15">
        <f>IF($B114="","",IF($D114=CashLabel,1,MIN(IF($AF114&gt;ThrSingle,ThrSingle/$AF114,1),IF($AG114&gt;ThrIssuer,ThrIssuer/$AG114,1),IF($AH114&gt;IFERROR(VLOOKUP($F114,CountryThr,2,FALSE),DefThrCountry),IFERROR(VLOOKUP($F114,CountryThr,2,FALSE),DefThrCountry)/$AH114,1),IF($AI114&gt;IFERROR(VLOOKUP($D114,LVTable,3,FALSE),DefThrAsset),IFERROR(VLOOKUP($D114,LVTable,3,FALSE),DefThrAsset)/$AI114,1))))</f>
        <v/>
      </c>
      <c r="AK114" s="33">
        <f>IF($B114="","",$AE114*$AJ114)</f>
        <v/>
      </c>
    </row>
    <row r="115">
      <c r="A115" s="16">
        <f>IF($B115="","",ROW()-4)</f>
        <v/>
      </c>
      <c r="B115" s="20" t="n"/>
      <c r="C115" s="20" t="n"/>
      <c r="D115" s="20" t="n"/>
      <c r="E115" s="20" t="n"/>
      <c r="F115" s="20" t="n"/>
      <c r="G115" s="20" t="n"/>
      <c r="H115" s="30" t="n"/>
      <c r="I115" s="30" t="n"/>
      <c r="J115" s="30" t="n"/>
      <c r="K115" s="31">
        <f>IF($B115="","",IF(ISNUMBER($J115),$J115,$I115))</f>
        <v/>
      </c>
      <c r="L115" s="32">
        <f>IF($B115="","",IFERROR(VLOOKUP($G115,FXRates,4,FALSE),1))</f>
        <v/>
      </c>
      <c r="M115" s="33">
        <f>IF($B115="","",$H115*$K115*$L115)</f>
        <v/>
      </c>
      <c r="N115" s="21" t="n"/>
      <c r="O115" s="14">
        <f>IF($B115="","",IF($D115=CashLabel,IF(ISNUMBER($N115),$N115,1),MIN(IF(ISNUMBER($N115),$N115,IFERROR(VLOOKUP($D115,LVTable,2,FALSE),0)),LVCap)))</f>
        <v/>
      </c>
      <c r="P115" s="25">
        <f>IF($B115="","",$M115*$O115)</f>
        <v/>
      </c>
      <c r="Q115" s="16">
        <f>IF($B115="","",IFERROR(VLOOKUP($G115,FXRates,5,FALSE),$G115))</f>
        <v/>
      </c>
      <c r="R115" s="14">
        <f>IF($B115="","",IF($D115=CashLabel,"",SUMIFS($P$5:$P$204,$B$5:$B$204,$B115,$D$5:$D$204,"&lt;&gt;"&amp;CashLabel)/ConcDenom))</f>
        <v/>
      </c>
      <c r="S115" s="14">
        <f>IF($B115="","",IF($D115=CashLabel,"",SUMIFS($P$5:$P$204,$E$5:$E$204,$E115,$D$5:$D$204,"&lt;&gt;"&amp;CashLabel)/ConcDenom))</f>
        <v/>
      </c>
      <c r="T115" s="14">
        <f>IF($B115="","",IF($D115=CashLabel,"",SUMIFS($P$5:$P$204,$F$5:$F$204,$F115,$D$5:$D$204,"&lt;&gt;"&amp;CashLabel)/ConcDenom))</f>
        <v/>
      </c>
      <c r="U115" s="14">
        <f>IF($B115="","",IF($D115=CashLabel,"",SUMIFS($P$5:$P$204,$D$5:$D$204,$D115,$D$5:$D$204,"&lt;&gt;"&amp;CashLabel)/ConcDenom))</f>
        <v/>
      </c>
      <c r="V115" s="15">
        <f>IF($B115="","",IF($D115=CashLabel,1,IF($R115&gt;ThrSingle,ThrSingle/$R115,1)))</f>
        <v/>
      </c>
      <c r="W115" s="15">
        <f>IF($B115="","",IF($D115=CashLabel,1,IF($S115&gt;ThrIssuer,ThrIssuer/$S115,1)))</f>
        <v/>
      </c>
      <c r="X115" s="15">
        <f>IF($B115="","",IF($D115=CashLabel,1,IF($T115&gt;IFERROR(VLOOKUP($F115,CountryThr,2,FALSE),DefThrCountry),IFERROR(VLOOKUP($F115,CountryThr,2,FALSE),DefThrCountry)/$T115,1)))</f>
        <v/>
      </c>
      <c r="Y115" s="15">
        <f>IF($B115="","",IF($D115=CashLabel,1,IF($U115&gt;IFERROR(VLOOKUP($D115,LVTable,3,FALSE),DefThrAsset),IFERROR(VLOOKUP($D115,LVTable,3,FALSE),DefThrAsset)/$U115,1)))</f>
        <v/>
      </c>
      <c r="Z115" s="34">
        <f>IF($B115="","",IF($D115=CashLabel,1,MIN($V115:$Y115)))</f>
        <v/>
      </c>
      <c r="AA115" s="25">
        <f>IF($B115="","",$P115*$Z115)</f>
        <v/>
      </c>
      <c r="AB115" s="33">
        <f>IF($B115="","",$P115-$AA115)</f>
        <v/>
      </c>
      <c r="AC115" s="21" t="n"/>
      <c r="AD115" s="33">
        <f>IF($B115="","",$M115*(1+IF(ISNUMBER($AC115),$AC115,0)))</f>
        <v/>
      </c>
      <c r="AE115" s="33">
        <f>IF($B115="","",$AD115*$O115)</f>
        <v/>
      </c>
      <c r="AF115" s="14">
        <f>IF($B115="","",IF($D115=CashLabel,"",SUMIFS($AE$5:$AE$204,$B$5:$B$204,$B115,$D$5:$D$204,"&lt;&gt;"&amp;CashLabel)/ConcDenomStr))</f>
        <v/>
      </c>
      <c r="AG115" s="14">
        <f>IF($B115="","",IF($D115=CashLabel,"",SUMIFS($AE$5:$AE$204,$E$5:$E$204,$E115,$D$5:$D$204,"&lt;&gt;"&amp;CashLabel)/ConcDenomStr))</f>
        <v/>
      </c>
      <c r="AH115" s="14">
        <f>IF($B115="","",IF($D115=CashLabel,"",SUMIFS($AE$5:$AE$204,$F$5:$F$204,$F115,$D$5:$D$204,"&lt;&gt;"&amp;CashLabel)/ConcDenomStr))</f>
        <v/>
      </c>
      <c r="AI115" s="14">
        <f>IF($B115="","",IF($D115=CashLabel,"",SUMIFS($AE$5:$AE$204,$D$5:$D$204,$D115,$D$5:$D$204,"&lt;&gt;"&amp;CashLabel)/ConcDenomStr))</f>
        <v/>
      </c>
      <c r="AJ115" s="15">
        <f>IF($B115="","",IF($D115=CashLabel,1,MIN(IF($AF115&gt;ThrSingle,ThrSingle/$AF115,1),IF($AG115&gt;ThrIssuer,ThrIssuer/$AG115,1),IF($AH115&gt;IFERROR(VLOOKUP($F115,CountryThr,2,FALSE),DefThrCountry),IFERROR(VLOOKUP($F115,CountryThr,2,FALSE),DefThrCountry)/$AH115,1),IF($AI115&gt;IFERROR(VLOOKUP($D115,LVTable,3,FALSE),DefThrAsset),IFERROR(VLOOKUP($D115,LVTable,3,FALSE),DefThrAsset)/$AI115,1))))</f>
        <v/>
      </c>
      <c r="AK115" s="33">
        <f>IF($B115="","",$AE115*$AJ115)</f>
        <v/>
      </c>
    </row>
    <row r="116">
      <c r="A116" s="16">
        <f>IF($B116="","",ROW()-4)</f>
        <v/>
      </c>
      <c r="B116" s="20" t="n"/>
      <c r="C116" s="20" t="n"/>
      <c r="D116" s="20" t="n"/>
      <c r="E116" s="20" t="n"/>
      <c r="F116" s="20" t="n"/>
      <c r="G116" s="20" t="n"/>
      <c r="H116" s="30" t="n"/>
      <c r="I116" s="30" t="n"/>
      <c r="J116" s="30" t="n"/>
      <c r="K116" s="31">
        <f>IF($B116="","",IF(ISNUMBER($J116),$J116,$I116))</f>
        <v/>
      </c>
      <c r="L116" s="32">
        <f>IF($B116="","",IFERROR(VLOOKUP($G116,FXRates,4,FALSE),1))</f>
        <v/>
      </c>
      <c r="M116" s="33">
        <f>IF($B116="","",$H116*$K116*$L116)</f>
        <v/>
      </c>
      <c r="N116" s="21" t="n"/>
      <c r="O116" s="14">
        <f>IF($B116="","",IF($D116=CashLabel,IF(ISNUMBER($N116),$N116,1),MIN(IF(ISNUMBER($N116),$N116,IFERROR(VLOOKUP($D116,LVTable,2,FALSE),0)),LVCap)))</f>
        <v/>
      </c>
      <c r="P116" s="25">
        <f>IF($B116="","",$M116*$O116)</f>
        <v/>
      </c>
      <c r="Q116" s="16">
        <f>IF($B116="","",IFERROR(VLOOKUP($G116,FXRates,5,FALSE),$G116))</f>
        <v/>
      </c>
      <c r="R116" s="14">
        <f>IF($B116="","",IF($D116=CashLabel,"",SUMIFS($P$5:$P$204,$B$5:$B$204,$B116,$D$5:$D$204,"&lt;&gt;"&amp;CashLabel)/ConcDenom))</f>
        <v/>
      </c>
      <c r="S116" s="14">
        <f>IF($B116="","",IF($D116=CashLabel,"",SUMIFS($P$5:$P$204,$E$5:$E$204,$E116,$D$5:$D$204,"&lt;&gt;"&amp;CashLabel)/ConcDenom))</f>
        <v/>
      </c>
      <c r="T116" s="14">
        <f>IF($B116="","",IF($D116=CashLabel,"",SUMIFS($P$5:$P$204,$F$5:$F$204,$F116,$D$5:$D$204,"&lt;&gt;"&amp;CashLabel)/ConcDenom))</f>
        <v/>
      </c>
      <c r="U116" s="14">
        <f>IF($B116="","",IF($D116=CashLabel,"",SUMIFS($P$5:$P$204,$D$5:$D$204,$D116,$D$5:$D$204,"&lt;&gt;"&amp;CashLabel)/ConcDenom))</f>
        <v/>
      </c>
      <c r="V116" s="15">
        <f>IF($B116="","",IF($D116=CashLabel,1,IF($R116&gt;ThrSingle,ThrSingle/$R116,1)))</f>
        <v/>
      </c>
      <c r="W116" s="15">
        <f>IF($B116="","",IF($D116=CashLabel,1,IF($S116&gt;ThrIssuer,ThrIssuer/$S116,1)))</f>
        <v/>
      </c>
      <c r="X116" s="15">
        <f>IF($B116="","",IF($D116=CashLabel,1,IF($T116&gt;IFERROR(VLOOKUP($F116,CountryThr,2,FALSE),DefThrCountry),IFERROR(VLOOKUP($F116,CountryThr,2,FALSE),DefThrCountry)/$T116,1)))</f>
        <v/>
      </c>
      <c r="Y116" s="15">
        <f>IF($B116="","",IF($D116=CashLabel,1,IF($U116&gt;IFERROR(VLOOKUP($D116,LVTable,3,FALSE),DefThrAsset),IFERROR(VLOOKUP($D116,LVTable,3,FALSE),DefThrAsset)/$U116,1)))</f>
        <v/>
      </c>
      <c r="Z116" s="34">
        <f>IF($B116="","",IF($D116=CashLabel,1,MIN($V116:$Y116)))</f>
        <v/>
      </c>
      <c r="AA116" s="25">
        <f>IF($B116="","",$P116*$Z116)</f>
        <v/>
      </c>
      <c r="AB116" s="33">
        <f>IF($B116="","",$P116-$AA116)</f>
        <v/>
      </c>
      <c r="AC116" s="21" t="n"/>
      <c r="AD116" s="33">
        <f>IF($B116="","",$M116*(1+IF(ISNUMBER($AC116),$AC116,0)))</f>
        <v/>
      </c>
      <c r="AE116" s="33">
        <f>IF($B116="","",$AD116*$O116)</f>
        <v/>
      </c>
      <c r="AF116" s="14">
        <f>IF($B116="","",IF($D116=CashLabel,"",SUMIFS($AE$5:$AE$204,$B$5:$B$204,$B116,$D$5:$D$204,"&lt;&gt;"&amp;CashLabel)/ConcDenomStr))</f>
        <v/>
      </c>
      <c r="AG116" s="14">
        <f>IF($B116="","",IF($D116=CashLabel,"",SUMIFS($AE$5:$AE$204,$E$5:$E$204,$E116,$D$5:$D$204,"&lt;&gt;"&amp;CashLabel)/ConcDenomStr))</f>
        <v/>
      </c>
      <c r="AH116" s="14">
        <f>IF($B116="","",IF($D116=CashLabel,"",SUMIFS($AE$5:$AE$204,$F$5:$F$204,$F116,$D$5:$D$204,"&lt;&gt;"&amp;CashLabel)/ConcDenomStr))</f>
        <v/>
      </c>
      <c r="AI116" s="14">
        <f>IF($B116="","",IF($D116=CashLabel,"",SUMIFS($AE$5:$AE$204,$D$5:$D$204,$D116,$D$5:$D$204,"&lt;&gt;"&amp;CashLabel)/ConcDenomStr))</f>
        <v/>
      </c>
      <c r="AJ116" s="15">
        <f>IF($B116="","",IF($D116=CashLabel,1,MIN(IF($AF116&gt;ThrSingle,ThrSingle/$AF116,1),IF($AG116&gt;ThrIssuer,ThrIssuer/$AG116,1),IF($AH116&gt;IFERROR(VLOOKUP($F116,CountryThr,2,FALSE),DefThrCountry),IFERROR(VLOOKUP($F116,CountryThr,2,FALSE),DefThrCountry)/$AH116,1),IF($AI116&gt;IFERROR(VLOOKUP($D116,LVTable,3,FALSE),DefThrAsset),IFERROR(VLOOKUP($D116,LVTable,3,FALSE),DefThrAsset)/$AI116,1))))</f>
        <v/>
      </c>
      <c r="AK116" s="33">
        <f>IF($B116="","",$AE116*$AJ116)</f>
        <v/>
      </c>
    </row>
    <row r="117">
      <c r="A117" s="16">
        <f>IF($B117="","",ROW()-4)</f>
        <v/>
      </c>
      <c r="B117" s="20" t="n"/>
      <c r="C117" s="20" t="n"/>
      <c r="D117" s="20" t="n"/>
      <c r="E117" s="20" t="n"/>
      <c r="F117" s="20" t="n"/>
      <c r="G117" s="20" t="n"/>
      <c r="H117" s="30" t="n"/>
      <c r="I117" s="30" t="n"/>
      <c r="J117" s="30" t="n"/>
      <c r="K117" s="31">
        <f>IF($B117="","",IF(ISNUMBER($J117),$J117,$I117))</f>
        <v/>
      </c>
      <c r="L117" s="32">
        <f>IF($B117="","",IFERROR(VLOOKUP($G117,FXRates,4,FALSE),1))</f>
        <v/>
      </c>
      <c r="M117" s="33">
        <f>IF($B117="","",$H117*$K117*$L117)</f>
        <v/>
      </c>
      <c r="N117" s="21" t="n"/>
      <c r="O117" s="14">
        <f>IF($B117="","",IF($D117=CashLabel,IF(ISNUMBER($N117),$N117,1),MIN(IF(ISNUMBER($N117),$N117,IFERROR(VLOOKUP($D117,LVTable,2,FALSE),0)),LVCap)))</f>
        <v/>
      </c>
      <c r="P117" s="25">
        <f>IF($B117="","",$M117*$O117)</f>
        <v/>
      </c>
      <c r="Q117" s="16">
        <f>IF($B117="","",IFERROR(VLOOKUP($G117,FXRates,5,FALSE),$G117))</f>
        <v/>
      </c>
      <c r="R117" s="14">
        <f>IF($B117="","",IF($D117=CashLabel,"",SUMIFS($P$5:$P$204,$B$5:$B$204,$B117,$D$5:$D$204,"&lt;&gt;"&amp;CashLabel)/ConcDenom))</f>
        <v/>
      </c>
      <c r="S117" s="14">
        <f>IF($B117="","",IF($D117=CashLabel,"",SUMIFS($P$5:$P$204,$E$5:$E$204,$E117,$D$5:$D$204,"&lt;&gt;"&amp;CashLabel)/ConcDenom))</f>
        <v/>
      </c>
      <c r="T117" s="14">
        <f>IF($B117="","",IF($D117=CashLabel,"",SUMIFS($P$5:$P$204,$F$5:$F$204,$F117,$D$5:$D$204,"&lt;&gt;"&amp;CashLabel)/ConcDenom))</f>
        <v/>
      </c>
      <c r="U117" s="14">
        <f>IF($B117="","",IF($D117=CashLabel,"",SUMIFS($P$5:$P$204,$D$5:$D$204,$D117,$D$5:$D$204,"&lt;&gt;"&amp;CashLabel)/ConcDenom))</f>
        <v/>
      </c>
      <c r="V117" s="15">
        <f>IF($B117="","",IF($D117=CashLabel,1,IF($R117&gt;ThrSingle,ThrSingle/$R117,1)))</f>
        <v/>
      </c>
      <c r="W117" s="15">
        <f>IF($B117="","",IF($D117=CashLabel,1,IF($S117&gt;ThrIssuer,ThrIssuer/$S117,1)))</f>
        <v/>
      </c>
      <c r="X117" s="15">
        <f>IF($B117="","",IF($D117=CashLabel,1,IF($T117&gt;IFERROR(VLOOKUP($F117,CountryThr,2,FALSE),DefThrCountry),IFERROR(VLOOKUP($F117,CountryThr,2,FALSE),DefThrCountry)/$T117,1)))</f>
        <v/>
      </c>
      <c r="Y117" s="15">
        <f>IF($B117="","",IF($D117=CashLabel,1,IF($U117&gt;IFERROR(VLOOKUP($D117,LVTable,3,FALSE),DefThrAsset),IFERROR(VLOOKUP($D117,LVTable,3,FALSE),DefThrAsset)/$U117,1)))</f>
        <v/>
      </c>
      <c r="Z117" s="34">
        <f>IF($B117="","",IF($D117=CashLabel,1,MIN($V117:$Y117)))</f>
        <v/>
      </c>
      <c r="AA117" s="25">
        <f>IF($B117="","",$P117*$Z117)</f>
        <v/>
      </c>
      <c r="AB117" s="33">
        <f>IF($B117="","",$P117-$AA117)</f>
        <v/>
      </c>
      <c r="AC117" s="21" t="n"/>
      <c r="AD117" s="33">
        <f>IF($B117="","",$M117*(1+IF(ISNUMBER($AC117),$AC117,0)))</f>
        <v/>
      </c>
      <c r="AE117" s="33">
        <f>IF($B117="","",$AD117*$O117)</f>
        <v/>
      </c>
      <c r="AF117" s="14">
        <f>IF($B117="","",IF($D117=CashLabel,"",SUMIFS($AE$5:$AE$204,$B$5:$B$204,$B117,$D$5:$D$204,"&lt;&gt;"&amp;CashLabel)/ConcDenomStr))</f>
        <v/>
      </c>
      <c r="AG117" s="14">
        <f>IF($B117="","",IF($D117=CashLabel,"",SUMIFS($AE$5:$AE$204,$E$5:$E$204,$E117,$D$5:$D$204,"&lt;&gt;"&amp;CashLabel)/ConcDenomStr))</f>
        <v/>
      </c>
      <c r="AH117" s="14">
        <f>IF($B117="","",IF($D117=CashLabel,"",SUMIFS($AE$5:$AE$204,$F$5:$F$204,$F117,$D$5:$D$204,"&lt;&gt;"&amp;CashLabel)/ConcDenomStr))</f>
        <v/>
      </c>
      <c r="AI117" s="14">
        <f>IF($B117="","",IF($D117=CashLabel,"",SUMIFS($AE$5:$AE$204,$D$5:$D$204,$D117,$D$5:$D$204,"&lt;&gt;"&amp;CashLabel)/ConcDenomStr))</f>
        <v/>
      </c>
      <c r="AJ117" s="15">
        <f>IF($B117="","",IF($D117=CashLabel,1,MIN(IF($AF117&gt;ThrSingle,ThrSingle/$AF117,1),IF($AG117&gt;ThrIssuer,ThrIssuer/$AG117,1),IF($AH117&gt;IFERROR(VLOOKUP($F117,CountryThr,2,FALSE),DefThrCountry),IFERROR(VLOOKUP($F117,CountryThr,2,FALSE),DefThrCountry)/$AH117,1),IF($AI117&gt;IFERROR(VLOOKUP($D117,LVTable,3,FALSE),DefThrAsset),IFERROR(VLOOKUP($D117,LVTable,3,FALSE),DefThrAsset)/$AI117,1))))</f>
        <v/>
      </c>
      <c r="AK117" s="33">
        <f>IF($B117="","",$AE117*$AJ117)</f>
        <v/>
      </c>
    </row>
    <row r="118">
      <c r="A118" s="16">
        <f>IF($B118="","",ROW()-4)</f>
        <v/>
      </c>
      <c r="B118" s="20" t="n"/>
      <c r="C118" s="20" t="n"/>
      <c r="D118" s="20" t="n"/>
      <c r="E118" s="20" t="n"/>
      <c r="F118" s="20" t="n"/>
      <c r="G118" s="20" t="n"/>
      <c r="H118" s="30" t="n"/>
      <c r="I118" s="30" t="n"/>
      <c r="J118" s="30" t="n"/>
      <c r="K118" s="31">
        <f>IF($B118="","",IF(ISNUMBER($J118),$J118,$I118))</f>
        <v/>
      </c>
      <c r="L118" s="32">
        <f>IF($B118="","",IFERROR(VLOOKUP($G118,FXRates,4,FALSE),1))</f>
        <v/>
      </c>
      <c r="M118" s="33">
        <f>IF($B118="","",$H118*$K118*$L118)</f>
        <v/>
      </c>
      <c r="N118" s="21" t="n"/>
      <c r="O118" s="14">
        <f>IF($B118="","",IF($D118=CashLabel,IF(ISNUMBER($N118),$N118,1),MIN(IF(ISNUMBER($N118),$N118,IFERROR(VLOOKUP($D118,LVTable,2,FALSE),0)),LVCap)))</f>
        <v/>
      </c>
      <c r="P118" s="25">
        <f>IF($B118="","",$M118*$O118)</f>
        <v/>
      </c>
      <c r="Q118" s="16">
        <f>IF($B118="","",IFERROR(VLOOKUP($G118,FXRates,5,FALSE),$G118))</f>
        <v/>
      </c>
      <c r="R118" s="14">
        <f>IF($B118="","",IF($D118=CashLabel,"",SUMIFS($P$5:$P$204,$B$5:$B$204,$B118,$D$5:$D$204,"&lt;&gt;"&amp;CashLabel)/ConcDenom))</f>
        <v/>
      </c>
      <c r="S118" s="14">
        <f>IF($B118="","",IF($D118=CashLabel,"",SUMIFS($P$5:$P$204,$E$5:$E$204,$E118,$D$5:$D$204,"&lt;&gt;"&amp;CashLabel)/ConcDenom))</f>
        <v/>
      </c>
      <c r="T118" s="14">
        <f>IF($B118="","",IF($D118=CashLabel,"",SUMIFS($P$5:$P$204,$F$5:$F$204,$F118,$D$5:$D$204,"&lt;&gt;"&amp;CashLabel)/ConcDenom))</f>
        <v/>
      </c>
      <c r="U118" s="14">
        <f>IF($B118="","",IF($D118=CashLabel,"",SUMIFS($P$5:$P$204,$D$5:$D$204,$D118,$D$5:$D$204,"&lt;&gt;"&amp;CashLabel)/ConcDenom))</f>
        <v/>
      </c>
      <c r="V118" s="15">
        <f>IF($B118="","",IF($D118=CashLabel,1,IF($R118&gt;ThrSingle,ThrSingle/$R118,1)))</f>
        <v/>
      </c>
      <c r="W118" s="15">
        <f>IF($B118="","",IF($D118=CashLabel,1,IF($S118&gt;ThrIssuer,ThrIssuer/$S118,1)))</f>
        <v/>
      </c>
      <c r="X118" s="15">
        <f>IF($B118="","",IF($D118=CashLabel,1,IF($T118&gt;IFERROR(VLOOKUP($F118,CountryThr,2,FALSE),DefThrCountry),IFERROR(VLOOKUP($F118,CountryThr,2,FALSE),DefThrCountry)/$T118,1)))</f>
        <v/>
      </c>
      <c r="Y118" s="15">
        <f>IF($B118="","",IF($D118=CashLabel,1,IF($U118&gt;IFERROR(VLOOKUP($D118,LVTable,3,FALSE),DefThrAsset),IFERROR(VLOOKUP($D118,LVTable,3,FALSE),DefThrAsset)/$U118,1)))</f>
        <v/>
      </c>
      <c r="Z118" s="34">
        <f>IF($B118="","",IF($D118=CashLabel,1,MIN($V118:$Y118)))</f>
        <v/>
      </c>
      <c r="AA118" s="25">
        <f>IF($B118="","",$P118*$Z118)</f>
        <v/>
      </c>
      <c r="AB118" s="33">
        <f>IF($B118="","",$P118-$AA118)</f>
        <v/>
      </c>
      <c r="AC118" s="21" t="n"/>
      <c r="AD118" s="33">
        <f>IF($B118="","",$M118*(1+IF(ISNUMBER($AC118),$AC118,0)))</f>
        <v/>
      </c>
      <c r="AE118" s="33">
        <f>IF($B118="","",$AD118*$O118)</f>
        <v/>
      </c>
      <c r="AF118" s="14">
        <f>IF($B118="","",IF($D118=CashLabel,"",SUMIFS($AE$5:$AE$204,$B$5:$B$204,$B118,$D$5:$D$204,"&lt;&gt;"&amp;CashLabel)/ConcDenomStr))</f>
        <v/>
      </c>
      <c r="AG118" s="14">
        <f>IF($B118="","",IF($D118=CashLabel,"",SUMIFS($AE$5:$AE$204,$E$5:$E$204,$E118,$D$5:$D$204,"&lt;&gt;"&amp;CashLabel)/ConcDenomStr))</f>
        <v/>
      </c>
      <c r="AH118" s="14">
        <f>IF($B118="","",IF($D118=CashLabel,"",SUMIFS($AE$5:$AE$204,$F$5:$F$204,$F118,$D$5:$D$204,"&lt;&gt;"&amp;CashLabel)/ConcDenomStr))</f>
        <v/>
      </c>
      <c r="AI118" s="14">
        <f>IF($B118="","",IF($D118=CashLabel,"",SUMIFS($AE$5:$AE$204,$D$5:$D$204,$D118,$D$5:$D$204,"&lt;&gt;"&amp;CashLabel)/ConcDenomStr))</f>
        <v/>
      </c>
      <c r="AJ118" s="15">
        <f>IF($B118="","",IF($D118=CashLabel,1,MIN(IF($AF118&gt;ThrSingle,ThrSingle/$AF118,1),IF($AG118&gt;ThrIssuer,ThrIssuer/$AG118,1),IF($AH118&gt;IFERROR(VLOOKUP($F118,CountryThr,2,FALSE),DefThrCountry),IFERROR(VLOOKUP($F118,CountryThr,2,FALSE),DefThrCountry)/$AH118,1),IF($AI118&gt;IFERROR(VLOOKUP($D118,LVTable,3,FALSE),DefThrAsset),IFERROR(VLOOKUP($D118,LVTable,3,FALSE),DefThrAsset)/$AI118,1))))</f>
        <v/>
      </c>
      <c r="AK118" s="33">
        <f>IF($B118="","",$AE118*$AJ118)</f>
        <v/>
      </c>
    </row>
    <row r="119">
      <c r="A119" s="16">
        <f>IF($B119="","",ROW()-4)</f>
        <v/>
      </c>
      <c r="B119" s="20" t="n"/>
      <c r="C119" s="20" t="n"/>
      <c r="D119" s="20" t="n"/>
      <c r="E119" s="20" t="n"/>
      <c r="F119" s="20" t="n"/>
      <c r="G119" s="20" t="n"/>
      <c r="H119" s="30" t="n"/>
      <c r="I119" s="30" t="n"/>
      <c r="J119" s="30" t="n"/>
      <c r="K119" s="31">
        <f>IF($B119="","",IF(ISNUMBER($J119),$J119,$I119))</f>
        <v/>
      </c>
      <c r="L119" s="32">
        <f>IF($B119="","",IFERROR(VLOOKUP($G119,FXRates,4,FALSE),1))</f>
        <v/>
      </c>
      <c r="M119" s="33">
        <f>IF($B119="","",$H119*$K119*$L119)</f>
        <v/>
      </c>
      <c r="N119" s="21" t="n"/>
      <c r="O119" s="14">
        <f>IF($B119="","",IF($D119=CashLabel,IF(ISNUMBER($N119),$N119,1),MIN(IF(ISNUMBER($N119),$N119,IFERROR(VLOOKUP($D119,LVTable,2,FALSE),0)),LVCap)))</f>
        <v/>
      </c>
      <c r="P119" s="25">
        <f>IF($B119="","",$M119*$O119)</f>
        <v/>
      </c>
      <c r="Q119" s="16">
        <f>IF($B119="","",IFERROR(VLOOKUP($G119,FXRates,5,FALSE),$G119))</f>
        <v/>
      </c>
      <c r="R119" s="14">
        <f>IF($B119="","",IF($D119=CashLabel,"",SUMIFS($P$5:$P$204,$B$5:$B$204,$B119,$D$5:$D$204,"&lt;&gt;"&amp;CashLabel)/ConcDenom))</f>
        <v/>
      </c>
      <c r="S119" s="14">
        <f>IF($B119="","",IF($D119=CashLabel,"",SUMIFS($P$5:$P$204,$E$5:$E$204,$E119,$D$5:$D$204,"&lt;&gt;"&amp;CashLabel)/ConcDenom))</f>
        <v/>
      </c>
      <c r="T119" s="14">
        <f>IF($B119="","",IF($D119=CashLabel,"",SUMIFS($P$5:$P$204,$F$5:$F$204,$F119,$D$5:$D$204,"&lt;&gt;"&amp;CashLabel)/ConcDenom))</f>
        <v/>
      </c>
      <c r="U119" s="14">
        <f>IF($B119="","",IF($D119=CashLabel,"",SUMIFS($P$5:$P$204,$D$5:$D$204,$D119,$D$5:$D$204,"&lt;&gt;"&amp;CashLabel)/ConcDenom))</f>
        <v/>
      </c>
      <c r="V119" s="15">
        <f>IF($B119="","",IF($D119=CashLabel,1,IF($R119&gt;ThrSingle,ThrSingle/$R119,1)))</f>
        <v/>
      </c>
      <c r="W119" s="15">
        <f>IF($B119="","",IF($D119=CashLabel,1,IF($S119&gt;ThrIssuer,ThrIssuer/$S119,1)))</f>
        <v/>
      </c>
      <c r="X119" s="15">
        <f>IF($B119="","",IF($D119=CashLabel,1,IF($T119&gt;IFERROR(VLOOKUP($F119,CountryThr,2,FALSE),DefThrCountry),IFERROR(VLOOKUP($F119,CountryThr,2,FALSE),DefThrCountry)/$T119,1)))</f>
        <v/>
      </c>
      <c r="Y119" s="15">
        <f>IF($B119="","",IF($D119=CashLabel,1,IF($U119&gt;IFERROR(VLOOKUP($D119,LVTable,3,FALSE),DefThrAsset),IFERROR(VLOOKUP($D119,LVTable,3,FALSE),DefThrAsset)/$U119,1)))</f>
        <v/>
      </c>
      <c r="Z119" s="34">
        <f>IF($B119="","",IF($D119=CashLabel,1,MIN($V119:$Y119)))</f>
        <v/>
      </c>
      <c r="AA119" s="25">
        <f>IF($B119="","",$P119*$Z119)</f>
        <v/>
      </c>
      <c r="AB119" s="33">
        <f>IF($B119="","",$P119-$AA119)</f>
        <v/>
      </c>
      <c r="AC119" s="21" t="n"/>
      <c r="AD119" s="33">
        <f>IF($B119="","",$M119*(1+IF(ISNUMBER($AC119),$AC119,0)))</f>
        <v/>
      </c>
      <c r="AE119" s="33">
        <f>IF($B119="","",$AD119*$O119)</f>
        <v/>
      </c>
      <c r="AF119" s="14">
        <f>IF($B119="","",IF($D119=CashLabel,"",SUMIFS($AE$5:$AE$204,$B$5:$B$204,$B119,$D$5:$D$204,"&lt;&gt;"&amp;CashLabel)/ConcDenomStr))</f>
        <v/>
      </c>
      <c r="AG119" s="14">
        <f>IF($B119="","",IF($D119=CashLabel,"",SUMIFS($AE$5:$AE$204,$E$5:$E$204,$E119,$D$5:$D$204,"&lt;&gt;"&amp;CashLabel)/ConcDenomStr))</f>
        <v/>
      </c>
      <c r="AH119" s="14">
        <f>IF($B119="","",IF($D119=CashLabel,"",SUMIFS($AE$5:$AE$204,$F$5:$F$204,$F119,$D$5:$D$204,"&lt;&gt;"&amp;CashLabel)/ConcDenomStr))</f>
        <v/>
      </c>
      <c r="AI119" s="14">
        <f>IF($B119="","",IF($D119=CashLabel,"",SUMIFS($AE$5:$AE$204,$D$5:$D$204,$D119,$D$5:$D$204,"&lt;&gt;"&amp;CashLabel)/ConcDenomStr))</f>
        <v/>
      </c>
      <c r="AJ119" s="15">
        <f>IF($B119="","",IF($D119=CashLabel,1,MIN(IF($AF119&gt;ThrSingle,ThrSingle/$AF119,1),IF($AG119&gt;ThrIssuer,ThrIssuer/$AG119,1),IF($AH119&gt;IFERROR(VLOOKUP($F119,CountryThr,2,FALSE),DefThrCountry),IFERROR(VLOOKUP($F119,CountryThr,2,FALSE),DefThrCountry)/$AH119,1),IF($AI119&gt;IFERROR(VLOOKUP($D119,LVTable,3,FALSE),DefThrAsset),IFERROR(VLOOKUP($D119,LVTable,3,FALSE),DefThrAsset)/$AI119,1))))</f>
        <v/>
      </c>
      <c r="AK119" s="33">
        <f>IF($B119="","",$AE119*$AJ119)</f>
        <v/>
      </c>
    </row>
    <row r="120">
      <c r="A120" s="16">
        <f>IF($B120="","",ROW()-4)</f>
        <v/>
      </c>
      <c r="B120" s="20" t="n"/>
      <c r="C120" s="20" t="n"/>
      <c r="D120" s="20" t="n"/>
      <c r="E120" s="20" t="n"/>
      <c r="F120" s="20" t="n"/>
      <c r="G120" s="20" t="n"/>
      <c r="H120" s="30" t="n"/>
      <c r="I120" s="30" t="n"/>
      <c r="J120" s="30" t="n"/>
      <c r="K120" s="31">
        <f>IF($B120="","",IF(ISNUMBER($J120),$J120,$I120))</f>
        <v/>
      </c>
      <c r="L120" s="32">
        <f>IF($B120="","",IFERROR(VLOOKUP($G120,FXRates,4,FALSE),1))</f>
        <v/>
      </c>
      <c r="M120" s="33">
        <f>IF($B120="","",$H120*$K120*$L120)</f>
        <v/>
      </c>
      <c r="N120" s="21" t="n"/>
      <c r="O120" s="14">
        <f>IF($B120="","",IF($D120=CashLabel,IF(ISNUMBER($N120),$N120,1),MIN(IF(ISNUMBER($N120),$N120,IFERROR(VLOOKUP($D120,LVTable,2,FALSE),0)),LVCap)))</f>
        <v/>
      </c>
      <c r="P120" s="25">
        <f>IF($B120="","",$M120*$O120)</f>
        <v/>
      </c>
      <c r="Q120" s="16">
        <f>IF($B120="","",IFERROR(VLOOKUP($G120,FXRates,5,FALSE),$G120))</f>
        <v/>
      </c>
      <c r="R120" s="14">
        <f>IF($B120="","",IF($D120=CashLabel,"",SUMIFS($P$5:$P$204,$B$5:$B$204,$B120,$D$5:$D$204,"&lt;&gt;"&amp;CashLabel)/ConcDenom))</f>
        <v/>
      </c>
      <c r="S120" s="14">
        <f>IF($B120="","",IF($D120=CashLabel,"",SUMIFS($P$5:$P$204,$E$5:$E$204,$E120,$D$5:$D$204,"&lt;&gt;"&amp;CashLabel)/ConcDenom))</f>
        <v/>
      </c>
      <c r="T120" s="14">
        <f>IF($B120="","",IF($D120=CashLabel,"",SUMIFS($P$5:$P$204,$F$5:$F$204,$F120,$D$5:$D$204,"&lt;&gt;"&amp;CashLabel)/ConcDenom))</f>
        <v/>
      </c>
      <c r="U120" s="14">
        <f>IF($B120="","",IF($D120=CashLabel,"",SUMIFS($P$5:$P$204,$D$5:$D$204,$D120,$D$5:$D$204,"&lt;&gt;"&amp;CashLabel)/ConcDenom))</f>
        <v/>
      </c>
      <c r="V120" s="15">
        <f>IF($B120="","",IF($D120=CashLabel,1,IF($R120&gt;ThrSingle,ThrSingle/$R120,1)))</f>
        <v/>
      </c>
      <c r="W120" s="15">
        <f>IF($B120="","",IF($D120=CashLabel,1,IF($S120&gt;ThrIssuer,ThrIssuer/$S120,1)))</f>
        <v/>
      </c>
      <c r="X120" s="15">
        <f>IF($B120="","",IF($D120=CashLabel,1,IF($T120&gt;IFERROR(VLOOKUP($F120,CountryThr,2,FALSE),DefThrCountry),IFERROR(VLOOKUP($F120,CountryThr,2,FALSE),DefThrCountry)/$T120,1)))</f>
        <v/>
      </c>
      <c r="Y120" s="15">
        <f>IF($B120="","",IF($D120=CashLabel,1,IF($U120&gt;IFERROR(VLOOKUP($D120,LVTable,3,FALSE),DefThrAsset),IFERROR(VLOOKUP($D120,LVTable,3,FALSE),DefThrAsset)/$U120,1)))</f>
        <v/>
      </c>
      <c r="Z120" s="34">
        <f>IF($B120="","",IF($D120=CashLabel,1,MIN($V120:$Y120)))</f>
        <v/>
      </c>
      <c r="AA120" s="25">
        <f>IF($B120="","",$P120*$Z120)</f>
        <v/>
      </c>
      <c r="AB120" s="33">
        <f>IF($B120="","",$P120-$AA120)</f>
        <v/>
      </c>
      <c r="AC120" s="21" t="n"/>
      <c r="AD120" s="33">
        <f>IF($B120="","",$M120*(1+IF(ISNUMBER($AC120),$AC120,0)))</f>
        <v/>
      </c>
      <c r="AE120" s="33">
        <f>IF($B120="","",$AD120*$O120)</f>
        <v/>
      </c>
      <c r="AF120" s="14">
        <f>IF($B120="","",IF($D120=CashLabel,"",SUMIFS($AE$5:$AE$204,$B$5:$B$204,$B120,$D$5:$D$204,"&lt;&gt;"&amp;CashLabel)/ConcDenomStr))</f>
        <v/>
      </c>
      <c r="AG120" s="14">
        <f>IF($B120="","",IF($D120=CashLabel,"",SUMIFS($AE$5:$AE$204,$E$5:$E$204,$E120,$D$5:$D$204,"&lt;&gt;"&amp;CashLabel)/ConcDenomStr))</f>
        <v/>
      </c>
      <c r="AH120" s="14">
        <f>IF($B120="","",IF($D120=CashLabel,"",SUMIFS($AE$5:$AE$204,$F$5:$F$204,$F120,$D$5:$D$204,"&lt;&gt;"&amp;CashLabel)/ConcDenomStr))</f>
        <v/>
      </c>
      <c r="AI120" s="14">
        <f>IF($B120="","",IF($D120=CashLabel,"",SUMIFS($AE$5:$AE$204,$D$5:$D$204,$D120,$D$5:$D$204,"&lt;&gt;"&amp;CashLabel)/ConcDenomStr))</f>
        <v/>
      </c>
      <c r="AJ120" s="15">
        <f>IF($B120="","",IF($D120=CashLabel,1,MIN(IF($AF120&gt;ThrSingle,ThrSingle/$AF120,1),IF($AG120&gt;ThrIssuer,ThrIssuer/$AG120,1),IF($AH120&gt;IFERROR(VLOOKUP($F120,CountryThr,2,FALSE),DefThrCountry),IFERROR(VLOOKUP($F120,CountryThr,2,FALSE),DefThrCountry)/$AH120,1),IF($AI120&gt;IFERROR(VLOOKUP($D120,LVTable,3,FALSE),DefThrAsset),IFERROR(VLOOKUP($D120,LVTable,3,FALSE),DefThrAsset)/$AI120,1))))</f>
        <v/>
      </c>
      <c r="AK120" s="33">
        <f>IF($B120="","",$AE120*$AJ120)</f>
        <v/>
      </c>
    </row>
    <row r="121">
      <c r="A121" s="16">
        <f>IF($B121="","",ROW()-4)</f>
        <v/>
      </c>
      <c r="B121" s="20" t="n"/>
      <c r="C121" s="20" t="n"/>
      <c r="D121" s="20" t="n"/>
      <c r="E121" s="20" t="n"/>
      <c r="F121" s="20" t="n"/>
      <c r="G121" s="20" t="n"/>
      <c r="H121" s="30" t="n"/>
      <c r="I121" s="30" t="n"/>
      <c r="J121" s="30" t="n"/>
      <c r="K121" s="31">
        <f>IF($B121="","",IF(ISNUMBER($J121),$J121,$I121))</f>
        <v/>
      </c>
      <c r="L121" s="32">
        <f>IF($B121="","",IFERROR(VLOOKUP($G121,FXRates,4,FALSE),1))</f>
        <v/>
      </c>
      <c r="M121" s="33">
        <f>IF($B121="","",$H121*$K121*$L121)</f>
        <v/>
      </c>
      <c r="N121" s="21" t="n"/>
      <c r="O121" s="14">
        <f>IF($B121="","",IF($D121=CashLabel,IF(ISNUMBER($N121),$N121,1),MIN(IF(ISNUMBER($N121),$N121,IFERROR(VLOOKUP($D121,LVTable,2,FALSE),0)),LVCap)))</f>
        <v/>
      </c>
      <c r="P121" s="25">
        <f>IF($B121="","",$M121*$O121)</f>
        <v/>
      </c>
      <c r="Q121" s="16">
        <f>IF($B121="","",IFERROR(VLOOKUP($G121,FXRates,5,FALSE),$G121))</f>
        <v/>
      </c>
      <c r="R121" s="14">
        <f>IF($B121="","",IF($D121=CashLabel,"",SUMIFS($P$5:$P$204,$B$5:$B$204,$B121,$D$5:$D$204,"&lt;&gt;"&amp;CashLabel)/ConcDenom))</f>
        <v/>
      </c>
      <c r="S121" s="14">
        <f>IF($B121="","",IF($D121=CashLabel,"",SUMIFS($P$5:$P$204,$E$5:$E$204,$E121,$D$5:$D$204,"&lt;&gt;"&amp;CashLabel)/ConcDenom))</f>
        <v/>
      </c>
      <c r="T121" s="14">
        <f>IF($B121="","",IF($D121=CashLabel,"",SUMIFS($P$5:$P$204,$F$5:$F$204,$F121,$D$5:$D$204,"&lt;&gt;"&amp;CashLabel)/ConcDenom))</f>
        <v/>
      </c>
      <c r="U121" s="14">
        <f>IF($B121="","",IF($D121=CashLabel,"",SUMIFS($P$5:$P$204,$D$5:$D$204,$D121,$D$5:$D$204,"&lt;&gt;"&amp;CashLabel)/ConcDenom))</f>
        <v/>
      </c>
      <c r="V121" s="15">
        <f>IF($B121="","",IF($D121=CashLabel,1,IF($R121&gt;ThrSingle,ThrSingle/$R121,1)))</f>
        <v/>
      </c>
      <c r="W121" s="15">
        <f>IF($B121="","",IF($D121=CashLabel,1,IF($S121&gt;ThrIssuer,ThrIssuer/$S121,1)))</f>
        <v/>
      </c>
      <c r="X121" s="15">
        <f>IF($B121="","",IF($D121=CashLabel,1,IF($T121&gt;IFERROR(VLOOKUP($F121,CountryThr,2,FALSE),DefThrCountry),IFERROR(VLOOKUP($F121,CountryThr,2,FALSE),DefThrCountry)/$T121,1)))</f>
        <v/>
      </c>
      <c r="Y121" s="15">
        <f>IF($B121="","",IF($D121=CashLabel,1,IF($U121&gt;IFERROR(VLOOKUP($D121,LVTable,3,FALSE),DefThrAsset),IFERROR(VLOOKUP($D121,LVTable,3,FALSE),DefThrAsset)/$U121,1)))</f>
        <v/>
      </c>
      <c r="Z121" s="34">
        <f>IF($B121="","",IF($D121=CashLabel,1,MIN($V121:$Y121)))</f>
        <v/>
      </c>
      <c r="AA121" s="25">
        <f>IF($B121="","",$P121*$Z121)</f>
        <v/>
      </c>
      <c r="AB121" s="33">
        <f>IF($B121="","",$P121-$AA121)</f>
        <v/>
      </c>
      <c r="AC121" s="21" t="n"/>
      <c r="AD121" s="33">
        <f>IF($B121="","",$M121*(1+IF(ISNUMBER($AC121),$AC121,0)))</f>
        <v/>
      </c>
      <c r="AE121" s="33">
        <f>IF($B121="","",$AD121*$O121)</f>
        <v/>
      </c>
      <c r="AF121" s="14">
        <f>IF($B121="","",IF($D121=CashLabel,"",SUMIFS($AE$5:$AE$204,$B$5:$B$204,$B121,$D$5:$D$204,"&lt;&gt;"&amp;CashLabel)/ConcDenomStr))</f>
        <v/>
      </c>
      <c r="AG121" s="14">
        <f>IF($B121="","",IF($D121=CashLabel,"",SUMIFS($AE$5:$AE$204,$E$5:$E$204,$E121,$D$5:$D$204,"&lt;&gt;"&amp;CashLabel)/ConcDenomStr))</f>
        <v/>
      </c>
      <c r="AH121" s="14">
        <f>IF($B121="","",IF($D121=CashLabel,"",SUMIFS($AE$5:$AE$204,$F$5:$F$204,$F121,$D$5:$D$204,"&lt;&gt;"&amp;CashLabel)/ConcDenomStr))</f>
        <v/>
      </c>
      <c r="AI121" s="14">
        <f>IF($B121="","",IF($D121=CashLabel,"",SUMIFS($AE$5:$AE$204,$D$5:$D$204,$D121,$D$5:$D$204,"&lt;&gt;"&amp;CashLabel)/ConcDenomStr))</f>
        <v/>
      </c>
      <c r="AJ121" s="15">
        <f>IF($B121="","",IF($D121=CashLabel,1,MIN(IF($AF121&gt;ThrSingle,ThrSingle/$AF121,1),IF($AG121&gt;ThrIssuer,ThrIssuer/$AG121,1),IF($AH121&gt;IFERROR(VLOOKUP($F121,CountryThr,2,FALSE),DefThrCountry),IFERROR(VLOOKUP($F121,CountryThr,2,FALSE),DefThrCountry)/$AH121,1),IF($AI121&gt;IFERROR(VLOOKUP($D121,LVTable,3,FALSE),DefThrAsset),IFERROR(VLOOKUP($D121,LVTable,3,FALSE),DefThrAsset)/$AI121,1))))</f>
        <v/>
      </c>
      <c r="AK121" s="33">
        <f>IF($B121="","",$AE121*$AJ121)</f>
        <v/>
      </c>
    </row>
    <row r="122">
      <c r="A122" s="16">
        <f>IF($B122="","",ROW()-4)</f>
        <v/>
      </c>
      <c r="B122" s="20" t="n"/>
      <c r="C122" s="20" t="n"/>
      <c r="D122" s="20" t="n"/>
      <c r="E122" s="20" t="n"/>
      <c r="F122" s="20" t="n"/>
      <c r="G122" s="20" t="n"/>
      <c r="H122" s="30" t="n"/>
      <c r="I122" s="30" t="n"/>
      <c r="J122" s="30" t="n"/>
      <c r="K122" s="31">
        <f>IF($B122="","",IF(ISNUMBER($J122),$J122,$I122))</f>
        <v/>
      </c>
      <c r="L122" s="32">
        <f>IF($B122="","",IFERROR(VLOOKUP($G122,FXRates,4,FALSE),1))</f>
        <v/>
      </c>
      <c r="M122" s="33">
        <f>IF($B122="","",$H122*$K122*$L122)</f>
        <v/>
      </c>
      <c r="N122" s="21" t="n"/>
      <c r="O122" s="14">
        <f>IF($B122="","",IF($D122=CashLabel,IF(ISNUMBER($N122),$N122,1),MIN(IF(ISNUMBER($N122),$N122,IFERROR(VLOOKUP($D122,LVTable,2,FALSE),0)),LVCap)))</f>
        <v/>
      </c>
      <c r="P122" s="25">
        <f>IF($B122="","",$M122*$O122)</f>
        <v/>
      </c>
      <c r="Q122" s="16">
        <f>IF($B122="","",IFERROR(VLOOKUP($G122,FXRates,5,FALSE),$G122))</f>
        <v/>
      </c>
      <c r="R122" s="14">
        <f>IF($B122="","",IF($D122=CashLabel,"",SUMIFS($P$5:$P$204,$B$5:$B$204,$B122,$D$5:$D$204,"&lt;&gt;"&amp;CashLabel)/ConcDenom))</f>
        <v/>
      </c>
      <c r="S122" s="14">
        <f>IF($B122="","",IF($D122=CashLabel,"",SUMIFS($P$5:$P$204,$E$5:$E$204,$E122,$D$5:$D$204,"&lt;&gt;"&amp;CashLabel)/ConcDenom))</f>
        <v/>
      </c>
      <c r="T122" s="14">
        <f>IF($B122="","",IF($D122=CashLabel,"",SUMIFS($P$5:$P$204,$F$5:$F$204,$F122,$D$5:$D$204,"&lt;&gt;"&amp;CashLabel)/ConcDenom))</f>
        <v/>
      </c>
      <c r="U122" s="14">
        <f>IF($B122="","",IF($D122=CashLabel,"",SUMIFS($P$5:$P$204,$D$5:$D$204,$D122,$D$5:$D$204,"&lt;&gt;"&amp;CashLabel)/ConcDenom))</f>
        <v/>
      </c>
      <c r="V122" s="15">
        <f>IF($B122="","",IF($D122=CashLabel,1,IF($R122&gt;ThrSingle,ThrSingle/$R122,1)))</f>
        <v/>
      </c>
      <c r="W122" s="15">
        <f>IF($B122="","",IF($D122=CashLabel,1,IF($S122&gt;ThrIssuer,ThrIssuer/$S122,1)))</f>
        <v/>
      </c>
      <c r="X122" s="15">
        <f>IF($B122="","",IF($D122=CashLabel,1,IF($T122&gt;IFERROR(VLOOKUP($F122,CountryThr,2,FALSE),DefThrCountry),IFERROR(VLOOKUP($F122,CountryThr,2,FALSE),DefThrCountry)/$T122,1)))</f>
        <v/>
      </c>
      <c r="Y122" s="15">
        <f>IF($B122="","",IF($D122=CashLabel,1,IF($U122&gt;IFERROR(VLOOKUP($D122,LVTable,3,FALSE),DefThrAsset),IFERROR(VLOOKUP($D122,LVTable,3,FALSE),DefThrAsset)/$U122,1)))</f>
        <v/>
      </c>
      <c r="Z122" s="34">
        <f>IF($B122="","",IF($D122=CashLabel,1,MIN($V122:$Y122)))</f>
        <v/>
      </c>
      <c r="AA122" s="25">
        <f>IF($B122="","",$P122*$Z122)</f>
        <v/>
      </c>
      <c r="AB122" s="33">
        <f>IF($B122="","",$P122-$AA122)</f>
        <v/>
      </c>
      <c r="AC122" s="21" t="n"/>
      <c r="AD122" s="33">
        <f>IF($B122="","",$M122*(1+IF(ISNUMBER($AC122),$AC122,0)))</f>
        <v/>
      </c>
      <c r="AE122" s="33">
        <f>IF($B122="","",$AD122*$O122)</f>
        <v/>
      </c>
      <c r="AF122" s="14">
        <f>IF($B122="","",IF($D122=CashLabel,"",SUMIFS($AE$5:$AE$204,$B$5:$B$204,$B122,$D$5:$D$204,"&lt;&gt;"&amp;CashLabel)/ConcDenomStr))</f>
        <v/>
      </c>
      <c r="AG122" s="14">
        <f>IF($B122="","",IF($D122=CashLabel,"",SUMIFS($AE$5:$AE$204,$E$5:$E$204,$E122,$D$5:$D$204,"&lt;&gt;"&amp;CashLabel)/ConcDenomStr))</f>
        <v/>
      </c>
      <c r="AH122" s="14">
        <f>IF($B122="","",IF($D122=CashLabel,"",SUMIFS($AE$5:$AE$204,$F$5:$F$204,$F122,$D$5:$D$204,"&lt;&gt;"&amp;CashLabel)/ConcDenomStr))</f>
        <v/>
      </c>
      <c r="AI122" s="14">
        <f>IF($B122="","",IF($D122=CashLabel,"",SUMIFS($AE$5:$AE$204,$D$5:$D$204,$D122,$D$5:$D$204,"&lt;&gt;"&amp;CashLabel)/ConcDenomStr))</f>
        <v/>
      </c>
      <c r="AJ122" s="15">
        <f>IF($B122="","",IF($D122=CashLabel,1,MIN(IF($AF122&gt;ThrSingle,ThrSingle/$AF122,1),IF($AG122&gt;ThrIssuer,ThrIssuer/$AG122,1),IF($AH122&gt;IFERROR(VLOOKUP($F122,CountryThr,2,FALSE),DefThrCountry),IFERROR(VLOOKUP($F122,CountryThr,2,FALSE),DefThrCountry)/$AH122,1),IF($AI122&gt;IFERROR(VLOOKUP($D122,LVTable,3,FALSE),DefThrAsset),IFERROR(VLOOKUP($D122,LVTable,3,FALSE),DefThrAsset)/$AI122,1))))</f>
        <v/>
      </c>
      <c r="AK122" s="33">
        <f>IF($B122="","",$AE122*$AJ122)</f>
        <v/>
      </c>
    </row>
    <row r="123">
      <c r="A123" s="16">
        <f>IF($B123="","",ROW()-4)</f>
        <v/>
      </c>
      <c r="B123" s="20" t="n"/>
      <c r="C123" s="20" t="n"/>
      <c r="D123" s="20" t="n"/>
      <c r="E123" s="20" t="n"/>
      <c r="F123" s="20" t="n"/>
      <c r="G123" s="20" t="n"/>
      <c r="H123" s="30" t="n"/>
      <c r="I123" s="30" t="n"/>
      <c r="J123" s="30" t="n"/>
      <c r="K123" s="31">
        <f>IF($B123="","",IF(ISNUMBER($J123),$J123,$I123))</f>
        <v/>
      </c>
      <c r="L123" s="32">
        <f>IF($B123="","",IFERROR(VLOOKUP($G123,FXRates,4,FALSE),1))</f>
        <v/>
      </c>
      <c r="M123" s="33">
        <f>IF($B123="","",$H123*$K123*$L123)</f>
        <v/>
      </c>
      <c r="N123" s="21" t="n"/>
      <c r="O123" s="14">
        <f>IF($B123="","",IF($D123=CashLabel,IF(ISNUMBER($N123),$N123,1),MIN(IF(ISNUMBER($N123),$N123,IFERROR(VLOOKUP($D123,LVTable,2,FALSE),0)),LVCap)))</f>
        <v/>
      </c>
      <c r="P123" s="25">
        <f>IF($B123="","",$M123*$O123)</f>
        <v/>
      </c>
      <c r="Q123" s="16">
        <f>IF($B123="","",IFERROR(VLOOKUP($G123,FXRates,5,FALSE),$G123))</f>
        <v/>
      </c>
      <c r="R123" s="14">
        <f>IF($B123="","",IF($D123=CashLabel,"",SUMIFS($P$5:$P$204,$B$5:$B$204,$B123,$D$5:$D$204,"&lt;&gt;"&amp;CashLabel)/ConcDenom))</f>
        <v/>
      </c>
      <c r="S123" s="14">
        <f>IF($B123="","",IF($D123=CashLabel,"",SUMIFS($P$5:$P$204,$E$5:$E$204,$E123,$D$5:$D$204,"&lt;&gt;"&amp;CashLabel)/ConcDenom))</f>
        <v/>
      </c>
      <c r="T123" s="14">
        <f>IF($B123="","",IF($D123=CashLabel,"",SUMIFS($P$5:$P$204,$F$5:$F$204,$F123,$D$5:$D$204,"&lt;&gt;"&amp;CashLabel)/ConcDenom))</f>
        <v/>
      </c>
      <c r="U123" s="14">
        <f>IF($B123="","",IF($D123=CashLabel,"",SUMIFS($P$5:$P$204,$D$5:$D$204,$D123,$D$5:$D$204,"&lt;&gt;"&amp;CashLabel)/ConcDenom))</f>
        <v/>
      </c>
      <c r="V123" s="15">
        <f>IF($B123="","",IF($D123=CashLabel,1,IF($R123&gt;ThrSingle,ThrSingle/$R123,1)))</f>
        <v/>
      </c>
      <c r="W123" s="15">
        <f>IF($B123="","",IF($D123=CashLabel,1,IF($S123&gt;ThrIssuer,ThrIssuer/$S123,1)))</f>
        <v/>
      </c>
      <c r="X123" s="15">
        <f>IF($B123="","",IF($D123=CashLabel,1,IF($T123&gt;IFERROR(VLOOKUP($F123,CountryThr,2,FALSE),DefThrCountry),IFERROR(VLOOKUP($F123,CountryThr,2,FALSE),DefThrCountry)/$T123,1)))</f>
        <v/>
      </c>
      <c r="Y123" s="15">
        <f>IF($B123="","",IF($D123=CashLabel,1,IF($U123&gt;IFERROR(VLOOKUP($D123,LVTable,3,FALSE),DefThrAsset),IFERROR(VLOOKUP($D123,LVTable,3,FALSE),DefThrAsset)/$U123,1)))</f>
        <v/>
      </c>
      <c r="Z123" s="34">
        <f>IF($B123="","",IF($D123=CashLabel,1,MIN($V123:$Y123)))</f>
        <v/>
      </c>
      <c r="AA123" s="25">
        <f>IF($B123="","",$P123*$Z123)</f>
        <v/>
      </c>
      <c r="AB123" s="33">
        <f>IF($B123="","",$P123-$AA123)</f>
        <v/>
      </c>
      <c r="AC123" s="21" t="n"/>
      <c r="AD123" s="33">
        <f>IF($B123="","",$M123*(1+IF(ISNUMBER($AC123),$AC123,0)))</f>
        <v/>
      </c>
      <c r="AE123" s="33">
        <f>IF($B123="","",$AD123*$O123)</f>
        <v/>
      </c>
      <c r="AF123" s="14">
        <f>IF($B123="","",IF($D123=CashLabel,"",SUMIFS($AE$5:$AE$204,$B$5:$B$204,$B123,$D$5:$D$204,"&lt;&gt;"&amp;CashLabel)/ConcDenomStr))</f>
        <v/>
      </c>
      <c r="AG123" s="14">
        <f>IF($B123="","",IF($D123=CashLabel,"",SUMIFS($AE$5:$AE$204,$E$5:$E$204,$E123,$D$5:$D$204,"&lt;&gt;"&amp;CashLabel)/ConcDenomStr))</f>
        <v/>
      </c>
      <c r="AH123" s="14">
        <f>IF($B123="","",IF($D123=CashLabel,"",SUMIFS($AE$5:$AE$204,$F$5:$F$204,$F123,$D$5:$D$204,"&lt;&gt;"&amp;CashLabel)/ConcDenomStr))</f>
        <v/>
      </c>
      <c r="AI123" s="14">
        <f>IF($B123="","",IF($D123=CashLabel,"",SUMIFS($AE$5:$AE$204,$D$5:$D$204,$D123,$D$5:$D$204,"&lt;&gt;"&amp;CashLabel)/ConcDenomStr))</f>
        <v/>
      </c>
      <c r="AJ123" s="15">
        <f>IF($B123="","",IF($D123=CashLabel,1,MIN(IF($AF123&gt;ThrSingle,ThrSingle/$AF123,1),IF($AG123&gt;ThrIssuer,ThrIssuer/$AG123,1),IF($AH123&gt;IFERROR(VLOOKUP($F123,CountryThr,2,FALSE),DefThrCountry),IFERROR(VLOOKUP($F123,CountryThr,2,FALSE),DefThrCountry)/$AH123,1),IF($AI123&gt;IFERROR(VLOOKUP($D123,LVTable,3,FALSE),DefThrAsset),IFERROR(VLOOKUP($D123,LVTable,3,FALSE),DefThrAsset)/$AI123,1))))</f>
        <v/>
      </c>
      <c r="AK123" s="33">
        <f>IF($B123="","",$AE123*$AJ123)</f>
        <v/>
      </c>
    </row>
    <row r="124">
      <c r="A124" s="16">
        <f>IF($B124="","",ROW()-4)</f>
        <v/>
      </c>
      <c r="B124" s="20" t="n"/>
      <c r="C124" s="20" t="n"/>
      <c r="D124" s="20" t="n"/>
      <c r="E124" s="20" t="n"/>
      <c r="F124" s="20" t="n"/>
      <c r="G124" s="20" t="n"/>
      <c r="H124" s="30" t="n"/>
      <c r="I124" s="30" t="n"/>
      <c r="J124" s="30" t="n"/>
      <c r="K124" s="31">
        <f>IF($B124="","",IF(ISNUMBER($J124),$J124,$I124))</f>
        <v/>
      </c>
      <c r="L124" s="32">
        <f>IF($B124="","",IFERROR(VLOOKUP($G124,FXRates,4,FALSE),1))</f>
        <v/>
      </c>
      <c r="M124" s="33">
        <f>IF($B124="","",$H124*$K124*$L124)</f>
        <v/>
      </c>
      <c r="N124" s="21" t="n"/>
      <c r="O124" s="14">
        <f>IF($B124="","",IF($D124=CashLabel,IF(ISNUMBER($N124),$N124,1),MIN(IF(ISNUMBER($N124),$N124,IFERROR(VLOOKUP($D124,LVTable,2,FALSE),0)),LVCap)))</f>
        <v/>
      </c>
      <c r="P124" s="25">
        <f>IF($B124="","",$M124*$O124)</f>
        <v/>
      </c>
      <c r="Q124" s="16">
        <f>IF($B124="","",IFERROR(VLOOKUP($G124,FXRates,5,FALSE),$G124))</f>
        <v/>
      </c>
      <c r="R124" s="14">
        <f>IF($B124="","",IF($D124=CashLabel,"",SUMIFS($P$5:$P$204,$B$5:$B$204,$B124,$D$5:$D$204,"&lt;&gt;"&amp;CashLabel)/ConcDenom))</f>
        <v/>
      </c>
      <c r="S124" s="14">
        <f>IF($B124="","",IF($D124=CashLabel,"",SUMIFS($P$5:$P$204,$E$5:$E$204,$E124,$D$5:$D$204,"&lt;&gt;"&amp;CashLabel)/ConcDenom))</f>
        <v/>
      </c>
      <c r="T124" s="14">
        <f>IF($B124="","",IF($D124=CashLabel,"",SUMIFS($P$5:$P$204,$F$5:$F$204,$F124,$D$5:$D$204,"&lt;&gt;"&amp;CashLabel)/ConcDenom))</f>
        <v/>
      </c>
      <c r="U124" s="14">
        <f>IF($B124="","",IF($D124=CashLabel,"",SUMIFS($P$5:$P$204,$D$5:$D$204,$D124,$D$5:$D$204,"&lt;&gt;"&amp;CashLabel)/ConcDenom))</f>
        <v/>
      </c>
      <c r="V124" s="15">
        <f>IF($B124="","",IF($D124=CashLabel,1,IF($R124&gt;ThrSingle,ThrSingle/$R124,1)))</f>
        <v/>
      </c>
      <c r="W124" s="15">
        <f>IF($B124="","",IF($D124=CashLabel,1,IF($S124&gt;ThrIssuer,ThrIssuer/$S124,1)))</f>
        <v/>
      </c>
      <c r="X124" s="15">
        <f>IF($B124="","",IF($D124=CashLabel,1,IF($T124&gt;IFERROR(VLOOKUP($F124,CountryThr,2,FALSE),DefThrCountry),IFERROR(VLOOKUP($F124,CountryThr,2,FALSE),DefThrCountry)/$T124,1)))</f>
        <v/>
      </c>
      <c r="Y124" s="15">
        <f>IF($B124="","",IF($D124=CashLabel,1,IF($U124&gt;IFERROR(VLOOKUP($D124,LVTable,3,FALSE),DefThrAsset),IFERROR(VLOOKUP($D124,LVTable,3,FALSE),DefThrAsset)/$U124,1)))</f>
        <v/>
      </c>
      <c r="Z124" s="34">
        <f>IF($B124="","",IF($D124=CashLabel,1,MIN($V124:$Y124)))</f>
        <v/>
      </c>
      <c r="AA124" s="25">
        <f>IF($B124="","",$P124*$Z124)</f>
        <v/>
      </c>
      <c r="AB124" s="33">
        <f>IF($B124="","",$P124-$AA124)</f>
        <v/>
      </c>
      <c r="AC124" s="21" t="n"/>
      <c r="AD124" s="33">
        <f>IF($B124="","",$M124*(1+IF(ISNUMBER($AC124),$AC124,0)))</f>
        <v/>
      </c>
      <c r="AE124" s="33">
        <f>IF($B124="","",$AD124*$O124)</f>
        <v/>
      </c>
      <c r="AF124" s="14">
        <f>IF($B124="","",IF($D124=CashLabel,"",SUMIFS($AE$5:$AE$204,$B$5:$B$204,$B124,$D$5:$D$204,"&lt;&gt;"&amp;CashLabel)/ConcDenomStr))</f>
        <v/>
      </c>
      <c r="AG124" s="14">
        <f>IF($B124="","",IF($D124=CashLabel,"",SUMIFS($AE$5:$AE$204,$E$5:$E$204,$E124,$D$5:$D$204,"&lt;&gt;"&amp;CashLabel)/ConcDenomStr))</f>
        <v/>
      </c>
      <c r="AH124" s="14">
        <f>IF($B124="","",IF($D124=CashLabel,"",SUMIFS($AE$5:$AE$204,$F$5:$F$204,$F124,$D$5:$D$204,"&lt;&gt;"&amp;CashLabel)/ConcDenomStr))</f>
        <v/>
      </c>
      <c r="AI124" s="14">
        <f>IF($B124="","",IF($D124=CashLabel,"",SUMIFS($AE$5:$AE$204,$D$5:$D$204,$D124,$D$5:$D$204,"&lt;&gt;"&amp;CashLabel)/ConcDenomStr))</f>
        <v/>
      </c>
      <c r="AJ124" s="15">
        <f>IF($B124="","",IF($D124=CashLabel,1,MIN(IF($AF124&gt;ThrSingle,ThrSingle/$AF124,1),IF($AG124&gt;ThrIssuer,ThrIssuer/$AG124,1),IF($AH124&gt;IFERROR(VLOOKUP($F124,CountryThr,2,FALSE),DefThrCountry),IFERROR(VLOOKUP($F124,CountryThr,2,FALSE),DefThrCountry)/$AH124,1),IF($AI124&gt;IFERROR(VLOOKUP($D124,LVTable,3,FALSE),DefThrAsset),IFERROR(VLOOKUP($D124,LVTable,3,FALSE),DefThrAsset)/$AI124,1))))</f>
        <v/>
      </c>
      <c r="AK124" s="33">
        <f>IF($B124="","",$AE124*$AJ124)</f>
        <v/>
      </c>
    </row>
    <row r="125">
      <c r="A125" s="16">
        <f>IF($B125="","",ROW()-4)</f>
        <v/>
      </c>
      <c r="B125" s="20" t="n"/>
      <c r="C125" s="20" t="n"/>
      <c r="D125" s="20" t="n"/>
      <c r="E125" s="20" t="n"/>
      <c r="F125" s="20" t="n"/>
      <c r="G125" s="20" t="n"/>
      <c r="H125" s="30" t="n"/>
      <c r="I125" s="30" t="n"/>
      <c r="J125" s="30" t="n"/>
      <c r="K125" s="31">
        <f>IF($B125="","",IF(ISNUMBER($J125),$J125,$I125))</f>
        <v/>
      </c>
      <c r="L125" s="32">
        <f>IF($B125="","",IFERROR(VLOOKUP($G125,FXRates,4,FALSE),1))</f>
        <v/>
      </c>
      <c r="M125" s="33">
        <f>IF($B125="","",$H125*$K125*$L125)</f>
        <v/>
      </c>
      <c r="N125" s="21" t="n"/>
      <c r="O125" s="14">
        <f>IF($B125="","",IF($D125=CashLabel,IF(ISNUMBER($N125),$N125,1),MIN(IF(ISNUMBER($N125),$N125,IFERROR(VLOOKUP($D125,LVTable,2,FALSE),0)),LVCap)))</f>
        <v/>
      </c>
      <c r="P125" s="25">
        <f>IF($B125="","",$M125*$O125)</f>
        <v/>
      </c>
      <c r="Q125" s="16">
        <f>IF($B125="","",IFERROR(VLOOKUP($G125,FXRates,5,FALSE),$G125))</f>
        <v/>
      </c>
      <c r="R125" s="14">
        <f>IF($B125="","",IF($D125=CashLabel,"",SUMIFS($P$5:$P$204,$B$5:$B$204,$B125,$D$5:$D$204,"&lt;&gt;"&amp;CashLabel)/ConcDenom))</f>
        <v/>
      </c>
      <c r="S125" s="14">
        <f>IF($B125="","",IF($D125=CashLabel,"",SUMIFS($P$5:$P$204,$E$5:$E$204,$E125,$D$5:$D$204,"&lt;&gt;"&amp;CashLabel)/ConcDenom))</f>
        <v/>
      </c>
      <c r="T125" s="14">
        <f>IF($B125="","",IF($D125=CashLabel,"",SUMIFS($P$5:$P$204,$F$5:$F$204,$F125,$D$5:$D$204,"&lt;&gt;"&amp;CashLabel)/ConcDenom))</f>
        <v/>
      </c>
      <c r="U125" s="14">
        <f>IF($B125="","",IF($D125=CashLabel,"",SUMIFS($P$5:$P$204,$D$5:$D$204,$D125,$D$5:$D$204,"&lt;&gt;"&amp;CashLabel)/ConcDenom))</f>
        <v/>
      </c>
      <c r="V125" s="15">
        <f>IF($B125="","",IF($D125=CashLabel,1,IF($R125&gt;ThrSingle,ThrSingle/$R125,1)))</f>
        <v/>
      </c>
      <c r="W125" s="15">
        <f>IF($B125="","",IF($D125=CashLabel,1,IF($S125&gt;ThrIssuer,ThrIssuer/$S125,1)))</f>
        <v/>
      </c>
      <c r="X125" s="15">
        <f>IF($B125="","",IF($D125=CashLabel,1,IF($T125&gt;IFERROR(VLOOKUP($F125,CountryThr,2,FALSE),DefThrCountry),IFERROR(VLOOKUP($F125,CountryThr,2,FALSE),DefThrCountry)/$T125,1)))</f>
        <v/>
      </c>
      <c r="Y125" s="15">
        <f>IF($B125="","",IF($D125=CashLabel,1,IF($U125&gt;IFERROR(VLOOKUP($D125,LVTable,3,FALSE),DefThrAsset),IFERROR(VLOOKUP($D125,LVTable,3,FALSE),DefThrAsset)/$U125,1)))</f>
        <v/>
      </c>
      <c r="Z125" s="34">
        <f>IF($B125="","",IF($D125=CashLabel,1,MIN($V125:$Y125)))</f>
        <v/>
      </c>
      <c r="AA125" s="25">
        <f>IF($B125="","",$P125*$Z125)</f>
        <v/>
      </c>
      <c r="AB125" s="33">
        <f>IF($B125="","",$P125-$AA125)</f>
        <v/>
      </c>
      <c r="AC125" s="21" t="n"/>
      <c r="AD125" s="33">
        <f>IF($B125="","",$M125*(1+IF(ISNUMBER($AC125),$AC125,0)))</f>
        <v/>
      </c>
      <c r="AE125" s="33">
        <f>IF($B125="","",$AD125*$O125)</f>
        <v/>
      </c>
      <c r="AF125" s="14">
        <f>IF($B125="","",IF($D125=CashLabel,"",SUMIFS($AE$5:$AE$204,$B$5:$B$204,$B125,$D$5:$D$204,"&lt;&gt;"&amp;CashLabel)/ConcDenomStr))</f>
        <v/>
      </c>
      <c r="AG125" s="14">
        <f>IF($B125="","",IF($D125=CashLabel,"",SUMIFS($AE$5:$AE$204,$E$5:$E$204,$E125,$D$5:$D$204,"&lt;&gt;"&amp;CashLabel)/ConcDenomStr))</f>
        <v/>
      </c>
      <c r="AH125" s="14">
        <f>IF($B125="","",IF($D125=CashLabel,"",SUMIFS($AE$5:$AE$204,$F$5:$F$204,$F125,$D$5:$D$204,"&lt;&gt;"&amp;CashLabel)/ConcDenomStr))</f>
        <v/>
      </c>
      <c r="AI125" s="14">
        <f>IF($B125="","",IF($D125=CashLabel,"",SUMIFS($AE$5:$AE$204,$D$5:$D$204,$D125,$D$5:$D$204,"&lt;&gt;"&amp;CashLabel)/ConcDenomStr))</f>
        <v/>
      </c>
      <c r="AJ125" s="15">
        <f>IF($B125="","",IF($D125=CashLabel,1,MIN(IF($AF125&gt;ThrSingle,ThrSingle/$AF125,1),IF($AG125&gt;ThrIssuer,ThrIssuer/$AG125,1),IF($AH125&gt;IFERROR(VLOOKUP($F125,CountryThr,2,FALSE),DefThrCountry),IFERROR(VLOOKUP($F125,CountryThr,2,FALSE),DefThrCountry)/$AH125,1),IF($AI125&gt;IFERROR(VLOOKUP($D125,LVTable,3,FALSE),DefThrAsset),IFERROR(VLOOKUP($D125,LVTable,3,FALSE),DefThrAsset)/$AI125,1))))</f>
        <v/>
      </c>
      <c r="AK125" s="33">
        <f>IF($B125="","",$AE125*$AJ125)</f>
        <v/>
      </c>
    </row>
    <row r="126">
      <c r="A126" s="16">
        <f>IF($B126="","",ROW()-4)</f>
        <v/>
      </c>
      <c r="B126" s="20" t="n"/>
      <c r="C126" s="20" t="n"/>
      <c r="D126" s="20" t="n"/>
      <c r="E126" s="20" t="n"/>
      <c r="F126" s="20" t="n"/>
      <c r="G126" s="20" t="n"/>
      <c r="H126" s="30" t="n"/>
      <c r="I126" s="30" t="n"/>
      <c r="J126" s="30" t="n"/>
      <c r="K126" s="31">
        <f>IF($B126="","",IF(ISNUMBER($J126),$J126,$I126))</f>
        <v/>
      </c>
      <c r="L126" s="32">
        <f>IF($B126="","",IFERROR(VLOOKUP($G126,FXRates,4,FALSE),1))</f>
        <v/>
      </c>
      <c r="M126" s="33">
        <f>IF($B126="","",$H126*$K126*$L126)</f>
        <v/>
      </c>
      <c r="N126" s="21" t="n"/>
      <c r="O126" s="14">
        <f>IF($B126="","",IF($D126=CashLabel,IF(ISNUMBER($N126),$N126,1),MIN(IF(ISNUMBER($N126),$N126,IFERROR(VLOOKUP($D126,LVTable,2,FALSE),0)),LVCap)))</f>
        <v/>
      </c>
      <c r="P126" s="25">
        <f>IF($B126="","",$M126*$O126)</f>
        <v/>
      </c>
      <c r="Q126" s="16">
        <f>IF($B126="","",IFERROR(VLOOKUP($G126,FXRates,5,FALSE),$G126))</f>
        <v/>
      </c>
      <c r="R126" s="14">
        <f>IF($B126="","",IF($D126=CashLabel,"",SUMIFS($P$5:$P$204,$B$5:$B$204,$B126,$D$5:$D$204,"&lt;&gt;"&amp;CashLabel)/ConcDenom))</f>
        <v/>
      </c>
      <c r="S126" s="14">
        <f>IF($B126="","",IF($D126=CashLabel,"",SUMIFS($P$5:$P$204,$E$5:$E$204,$E126,$D$5:$D$204,"&lt;&gt;"&amp;CashLabel)/ConcDenom))</f>
        <v/>
      </c>
      <c r="T126" s="14">
        <f>IF($B126="","",IF($D126=CashLabel,"",SUMIFS($P$5:$P$204,$F$5:$F$204,$F126,$D$5:$D$204,"&lt;&gt;"&amp;CashLabel)/ConcDenom))</f>
        <v/>
      </c>
      <c r="U126" s="14">
        <f>IF($B126="","",IF($D126=CashLabel,"",SUMIFS($P$5:$P$204,$D$5:$D$204,$D126,$D$5:$D$204,"&lt;&gt;"&amp;CashLabel)/ConcDenom))</f>
        <v/>
      </c>
      <c r="V126" s="15">
        <f>IF($B126="","",IF($D126=CashLabel,1,IF($R126&gt;ThrSingle,ThrSingle/$R126,1)))</f>
        <v/>
      </c>
      <c r="W126" s="15">
        <f>IF($B126="","",IF($D126=CashLabel,1,IF($S126&gt;ThrIssuer,ThrIssuer/$S126,1)))</f>
        <v/>
      </c>
      <c r="X126" s="15">
        <f>IF($B126="","",IF($D126=CashLabel,1,IF($T126&gt;IFERROR(VLOOKUP($F126,CountryThr,2,FALSE),DefThrCountry),IFERROR(VLOOKUP($F126,CountryThr,2,FALSE),DefThrCountry)/$T126,1)))</f>
        <v/>
      </c>
      <c r="Y126" s="15">
        <f>IF($B126="","",IF($D126=CashLabel,1,IF($U126&gt;IFERROR(VLOOKUP($D126,LVTable,3,FALSE),DefThrAsset),IFERROR(VLOOKUP($D126,LVTable,3,FALSE),DefThrAsset)/$U126,1)))</f>
        <v/>
      </c>
      <c r="Z126" s="34">
        <f>IF($B126="","",IF($D126=CashLabel,1,MIN($V126:$Y126)))</f>
        <v/>
      </c>
      <c r="AA126" s="25">
        <f>IF($B126="","",$P126*$Z126)</f>
        <v/>
      </c>
      <c r="AB126" s="33">
        <f>IF($B126="","",$P126-$AA126)</f>
        <v/>
      </c>
      <c r="AC126" s="21" t="n"/>
      <c r="AD126" s="33">
        <f>IF($B126="","",$M126*(1+IF(ISNUMBER($AC126),$AC126,0)))</f>
        <v/>
      </c>
      <c r="AE126" s="33">
        <f>IF($B126="","",$AD126*$O126)</f>
        <v/>
      </c>
      <c r="AF126" s="14">
        <f>IF($B126="","",IF($D126=CashLabel,"",SUMIFS($AE$5:$AE$204,$B$5:$B$204,$B126,$D$5:$D$204,"&lt;&gt;"&amp;CashLabel)/ConcDenomStr))</f>
        <v/>
      </c>
      <c r="AG126" s="14">
        <f>IF($B126="","",IF($D126=CashLabel,"",SUMIFS($AE$5:$AE$204,$E$5:$E$204,$E126,$D$5:$D$204,"&lt;&gt;"&amp;CashLabel)/ConcDenomStr))</f>
        <v/>
      </c>
      <c r="AH126" s="14">
        <f>IF($B126="","",IF($D126=CashLabel,"",SUMIFS($AE$5:$AE$204,$F$5:$F$204,$F126,$D$5:$D$204,"&lt;&gt;"&amp;CashLabel)/ConcDenomStr))</f>
        <v/>
      </c>
      <c r="AI126" s="14">
        <f>IF($B126="","",IF($D126=CashLabel,"",SUMIFS($AE$5:$AE$204,$D$5:$D$204,$D126,$D$5:$D$204,"&lt;&gt;"&amp;CashLabel)/ConcDenomStr))</f>
        <v/>
      </c>
      <c r="AJ126" s="15">
        <f>IF($B126="","",IF($D126=CashLabel,1,MIN(IF($AF126&gt;ThrSingle,ThrSingle/$AF126,1),IF($AG126&gt;ThrIssuer,ThrIssuer/$AG126,1),IF($AH126&gt;IFERROR(VLOOKUP($F126,CountryThr,2,FALSE),DefThrCountry),IFERROR(VLOOKUP($F126,CountryThr,2,FALSE),DefThrCountry)/$AH126,1),IF($AI126&gt;IFERROR(VLOOKUP($D126,LVTable,3,FALSE),DefThrAsset),IFERROR(VLOOKUP($D126,LVTable,3,FALSE),DefThrAsset)/$AI126,1))))</f>
        <v/>
      </c>
      <c r="AK126" s="33">
        <f>IF($B126="","",$AE126*$AJ126)</f>
        <v/>
      </c>
    </row>
    <row r="127">
      <c r="A127" s="16">
        <f>IF($B127="","",ROW()-4)</f>
        <v/>
      </c>
      <c r="B127" s="20" t="n"/>
      <c r="C127" s="20" t="n"/>
      <c r="D127" s="20" t="n"/>
      <c r="E127" s="20" t="n"/>
      <c r="F127" s="20" t="n"/>
      <c r="G127" s="20" t="n"/>
      <c r="H127" s="30" t="n"/>
      <c r="I127" s="30" t="n"/>
      <c r="J127" s="30" t="n"/>
      <c r="K127" s="31">
        <f>IF($B127="","",IF(ISNUMBER($J127),$J127,$I127))</f>
        <v/>
      </c>
      <c r="L127" s="32">
        <f>IF($B127="","",IFERROR(VLOOKUP($G127,FXRates,4,FALSE),1))</f>
        <v/>
      </c>
      <c r="M127" s="33">
        <f>IF($B127="","",$H127*$K127*$L127)</f>
        <v/>
      </c>
      <c r="N127" s="21" t="n"/>
      <c r="O127" s="14">
        <f>IF($B127="","",IF($D127=CashLabel,IF(ISNUMBER($N127),$N127,1),MIN(IF(ISNUMBER($N127),$N127,IFERROR(VLOOKUP($D127,LVTable,2,FALSE),0)),LVCap)))</f>
        <v/>
      </c>
      <c r="P127" s="25">
        <f>IF($B127="","",$M127*$O127)</f>
        <v/>
      </c>
      <c r="Q127" s="16">
        <f>IF($B127="","",IFERROR(VLOOKUP($G127,FXRates,5,FALSE),$G127))</f>
        <v/>
      </c>
      <c r="R127" s="14">
        <f>IF($B127="","",IF($D127=CashLabel,"",SUMIFS($P$5:$P$204,$B$5:$B$204,$B127,$D$5:$D$204,"&lt;&gt;"&amp;CashLabel)/ConcDenom))</f>
        <v/>
      </c>
      <c r="S127" s="14">
        <f>IF($B127="","",IF($D127=CashLabel,"",SUMIFS($P$5:$P$204,$E$5:$E$204,$E127,$D$5:$D$204,"&lt;&gt;"&amp;CashLabel)/ConcDenom))</f>
        <v/>
      </c>
      <c r="T127" s="14">
        <f>IF($B127="","",IF($D127=CashLabel,"",SUMIFS($P$5:$P$204,$F$5:$F$204,$F127,$D$5:$D$204,"&lt;&gt;"&amp;CashLabel)/ConcDenom))</f>
        <v/>
      </c>
      <c r="U127" s="14">
        <f>IF($B127="","",IF($D127=CashLabel,"",SUMIFS($P$5:$P$204,$D$5:$D$204,$D127,$D$5:$D$204,"&lt;&gt;"&amp;CashLabel)/ConcDenom))</f>
        <v/>
      </c>
      <c r="V127" s="15">
        <f>IF($B127="","",IF($D127=CashLabel,1,IF($R127&gt;ThrSingle,ThrSingle/$R127,1)))</f>
        <v/>
      </c>
      <c r="W127" s="15">
        <f>IF($B127="","",IF($D127=CashLabel,1,IF($S127&gt;ThrIssuer,ThrIssuer/$S127,1)))</f>
        <v/>
      </c>
      <c r="X127" s="15">
        <f>IF($B127="","",IF($D127=CashLabel,1,IF($T127&gt;IFERROR(VLOOKUP($F127,CountryThr,2,FALSE),DefThrCountry),IFERROR(VLOOKUP($F127,CountryThr,2,FALSE),DefThrCountry)/$T127,1)))</f>
        <v/>
      </c>
      <c r="Y127" s="15">
        <f>IF($B127="","",IF($D127=CashLabel,1,IF($U127&gt;IFERROR(VLOOKUP($D127,LVTable,3,FALSE),DefThrAsset),IFERROR(VLOOKUP($D127,LVTable,3,FALSE),DefThrAsset)/$U127,1)))</f>
        <v/>
      </c>
      <c r="Z127" s="34">
        <f>IF($B127="","",IF($D127=CashLabel,1,MIN($V127:$Y127)))</f>
        <v/>
      </c>
      <c r="AA127" s="25">
        <f>IF($B127="","",$P127*$Z127)</f>
        <v/>
      </c>
      <c r="AB127" s="33">
        <f>IF($B127="","",$P127-$AA127)</f>
        <v/>
      </c>
      <c r="AC127" s="21" t="n"/>
      <c r="AD127" s="33">
        <f>IF($B127="","",$M127*(1+IF(ISNUMBER($AC127),$AC127,0)))</f>
        <v/>
      </c>
      <c r="AE127" s="33">
        <f>IF($B127="","",$AD127*$O127)</f>
        <v/>
      </c>
      <c r="AF127" s="14">
        <f>IF($B127="","",IF($D127=CashLabel,"",SUMIFS($AE$5:$AE$204,$B$5:$B$204,$B127,$D$5:$D$204,"&lt;&gt;"&amp;CashLabel)/ConcDenomStr))</f>
        <v/>
      </c>
      <c r="AG127" s="14">
        <f>IF($B127="","",IF($D127=CashLabel,"",SUMIFS($AE$5:$AE$204,$E$5:$E$204,$E127,$D$5:$D$204,"&lt;&gt;"&amp;CashLabel)/ConcDenomStr))</f>
        <v/>
      </c>
      <c r="AH127" s="14">
        <f>IF($B127="","",IF($D127=CashLabel,"",SUMIFS($AE$5:$AE$204,$F$5:$F$204,$F127,$D$5:$D$204,"&lt;&gt;"&amp;CashLabel)/ConcDenomStr))</f>
        <v/>
      </c>
      <c r="AI127" s="14">
        <f>IF($B127="","",IF($D127=CashLabel,"",SUMIFS($AE$5:$AE$204,$D$5:$D$204,$D127,$D$5:$D$204,"&lt;&gt;"&amp;CashLabel)/ConcDenomStr))</f>
        <v/>
      </c>
      <c r="AJ127" s="15">
        <f>IF($B127="","",IF($D127=CashLabel,1,MIN(IF($AF127&gt;ThrSingle,ThrSingle/$AF127,1),IF($AG127&gt;ThrIssuer,ThrIssuer/$AG127,1),IF($AH127&gt;IFERROR(VLOOKUP($F127,CountryThr,2,FALSE),DefThrCountry),IFERROR(VLOOKUP($F127,CountryThr,2,FALSE),DefThrCountry)/$AH127,1),IF($AI127&gt;IFERROR(VLOOKUP($D127,LVTable,3,FALSE),DefThrAsset),IFERROR(VLOOKUP($D127,LVTable,3,FALSE),DefThrAsset)/$AI127,1))))</f>
        <v/>
      </c>
      <c r="AK127" s="33">
        <f>IF($B127="","",$AE127*$AJ127)</f>
        <v/>
      </c>
    </row>
    <row r="128">
      <c r="A128" s="16">
        <f>IF($B128="","",ROW()-4)</f>
        <v/>
      </c>
      <c r="B128" s="20" t="n"/>
      <c r="C128" s="20" t="n"/>
      <c r="D128" s="20" t="n"/>
      <c r="E128" s="20" t="n"/>
      <c r="F128" s="20" t="n"/>
      <c r="G128" s="20" t="n"/>
      <c r="H128" s="30" t="n"/>
      <c r="I128" s="30" t="n"/>
      <c r="J128" s="30" t="n"/>
      <c r="K128" s="31">
        <f>IF($B128="","",IF(ISNUMBER($J128),$J128,$I128))</f>
        <v/>
      </c>
      <c r="L128" s="32">
        <f>IF($B128="","",IFERROR(VLOOKUP($G128,FXRates,4,FALSE),1))</f>
        <v/>
      </c>
      <c r="M128" s="33">
        <f>IF($B128="","",$H128*$K128*$L128)</f>
        <v/>
      </c>
      <c r="N128" s="21" t="n"/>
      <c r="O128" s="14">
        <f>IF($B128="","",IF($D128=CashLabel,IF(ISNUMBER($N128),$N128,1),MIN(IF(ISNUMBER($N128),$N128,IFERROR(VLOOKUP($D128,LVTable,2,FALSE),0)),LVCap)))</f>
        <v/>
      </c>
      <c r="P128" s="25">
        <f>IF($B128="","",$M128*$O128)</f>
        <v/>
      </c>
      <c r="Q128" s="16">
        <f>IF($B128="","",IFERROR(VLOOKUP($G128,FXRates,5,FALSE),$G128))</f>
        <v/>
      </c>
      <c r="R128" s="14">
        <f>IF($B128="","",IF($D128=CashLabel,"",SUMIFS($P$5:$P$204,$B$5:$B$204,$B128,$D$5:$D$204,"&lt;&gt;"&amp;CashLabel)/ConcDenom))</f>
        <v/>
      </c>
      <c r="S128" s="14">
        <f>IF($B128="","",IF($D128=CashLabel,"",SUMIFS($P$5:$P$204,$E$5:$E$204,$E128,$D$5:$D$204,"&lt;&gt;"&amp;CashLabel)/ConcDenom))</f>
        <v/>
      </c>
      <c r="T128" s="14">
        <f>IF($B128="","",IF($D128=CashLabel,"",SUMIFS($P$5:$P$204,$F$5:$F$204,$F128,$D$5:$D$204,"&lt;&gt;"&amp;CashLabel)/ConcDenom))</f>
        <v/>
      </c>
      <c r="U128" s="14">
        <f>IF($B128="","",IF($D128=CashLabel,"",SUMIFS($P$5:$P$204,$D$5:$D$204,$D128,$D$5:$D$204,"&lt;&gt;"&amp;CashLabel)/ConcDenom))</f>
        <v/>
      </c>
      <c r="V128" s="15">
        <f>IF($B128="","",IF($D128=CashLabel,1,IF($R128&gt;ThrSingle,ThrSingle/$R128,1)))</f>
        <v/>
      </c>
      <c r="W128" s="15">
        <f>IF($B128="","",IF($D128=CashLabel,1,IF($S128&gt;ThrIssuer,ThrIssuer/$S128,1)))</f>
        <v/>
      </c>
      <c r="X128" s="15">
        <f>IF($B128="","",IF($D128=CashLabel,1,IF($T128&gt;IFERROR(VLOOKUP($F128,CountryThr,2,FALSE),DefThrCountry),IFERROR(VLOOKUP($F128,CountryThr,2,FALSE),DefThrCountry)/$T128,1)))</f>
        <v/>
      </c>
      <c r="Y128" s="15">
        <f>IF($B128="","",IF($D128=CashLabel,1,IF($U128&gt;IFERROR(VLOOKUP($D128,LVTable,3,FALSE),DefThrAsset),IFERROR(VLOOKUP($D128,LVTable,3,FALSE),DefThrAsset)/$U128,1)))</f>
        <v/>
      </c>
      <c r="Z128" s="34">
        <f>IF($B128="","",IF($D128=CashLabel,1,MIN($V128:$Y128)))</f>
        <v/>
      </c>
      <c r="AA128" s="25">
        <f>IF($B128="","",$P128*$Z128)</f>
        <v/>
      </c>
      <c r="AB128" s="33">
        <f>IF($B128="","",$P128-$AA128)</f>
        <v/>
      </c>
      <c r="AC128" s="21" t="n"/>
      <c r="AD128" s="33">
        <f>IF($B128="","",$M128*(1+IF(ISNUMBER($AC128),$AC128,0)))</f>
        <v/>
      </c>
      <c r="AE128" s="33">
        <f>IF($B128="","",$AD128*$O128)</f>
        <v/>
      </c>
      <c r="AF128" s="14">
        <f>IF($B128="","",IF($D128=CashLabel,"",SUMIFS($AE$5:$AE$204,$B$5:$B$204,$B128,$D$5:$D$204,"&lt;&gt;"&amp;CashLabel)/ConcDenomStr))</f>
        <v/>
      </c>
      <c r="AG128" s="14">
        <f>IF($B128="","",IF($D128=CashLabel,"",SUMIFS($AE$5:$AE$204,$E$5:$E$204,$E128,$D$5:$D$204,"&lt;&gt;"&amp;CashLabel)/ConcDenomStr))</f>
        <v/>
      </c>
      <c r="AH128" s="14">
        <f>IF($B128="","",IF($D128=CashLabel,"",SUMIFS($AE$5:$AE$204,$F$5:$F$204,$F128,$D$5:$D$204,"&lt;&gt;"&amp;CashLabel)/ConcDenomStr))</f>
        <v/>
      </c>
      <c r="AI128" s="14">
        <f>IF($B128="","",IF($D128=CashLabel,"",SUMIFS($AE$5:$AE$204,$D$5:$D$204,$D128,$D$5:$D$204,"&lt;&gt;"&amp;CashLabel)/ConcDenomStr))</f>
        <v/>
      </c>
      <c r="AJ128" s="15">
        <f>IF($B128="","",IF($D128=CashLabel,1,MIN(IF($AF128&gt;ThrSingle,ThrSingle/$AF128,1),IF($AG128&gt;ThrIssuer,ThrIssuer/$AG128,1),IF($AH128&gt;IFERROR(VLOOKUP($F128,CountryThr,2,FALSE),DefThrCountry),IFERROR(VLOOKUP($F128,CountryThr,2,FALSE),DefThrCountry)/$AH128,1),IF($AI128&gt;IFERROR(VLOOKUP($D128,LVTable,3,FALSE),DefThrAsset),IFERROR(VLOOKUP($D128,LVTable,3,FALSE),DefThrAsset)/$AI128,1))))</f>
        <v/>
      </c>
      <c r="AK128" s="33">
        <f>IF($B128="","",$AE128*$AJ128)</f>
        <v/>
      </c>
    </row>
    <row r="129">
      <c r="A129" s="16">
        <f>IF($B129="","",ROW()-4)</f>
        <v/>
      </c>
      <c r="B129" s="20" t="n"/>
      <c r="C129" s="20" t="n"/>
      <c r="D129" s="20" t="n"/>
      <c r="E129" s="20" t="n"/>
      <c r="F129" s="20" t="n"/>
      <c r="G129" s="20" t="n"/>
      <c r="H129" s="30" t="n"/>
      <c r="I129" s="30" t="n"/>
      <c r="J129" s="30" t="n"/>
      <c r="K129" s="31">
        <f>IF($B129="","",IF(ISNUMBER($J129),$J129,$I129))</f>
        <v/>
      </c>
      <c r="L129" s="32">
        <f>IF($B129="","",IFERROR(VLOOKUP($G129,FXRates,4,FALSE),1))</f>
        <v/>
      </c>
      <c r="M129" s="33">
        <f>IF($B129="","",$H129*$K129*$L129)</f>
        <v/>
      </c>
      <c r="N129" s="21" t="n"/>
      <c r="O129" s="14">
        <f>IF($B129="","",IF($D129=CashLabel,IF(ISNUMBER($N129),$N129,1),MIN(IF(ISNUMBER($N129),$N129,IFERROR(VLOOKUP($D129,LVTable,2,FALSE),0)),LVCap)))</f>
        <v/>
      </c>
      <c r="P129" s="25">
        <f>IF($B129="","",$M129*$O129)</f>
        <v/>
      </c>
      <c r="Q129" s="16">
        <f>IF($B129="","",IFERROR(VLOOKUP($G129,FXRates,5,FALSE),$G129))</f>
        <v/>
      </c>
      <c r="R129" s="14">
        <f>IF($B129="","",IF($D129=CashLabel,"",SUMIFS($P$5:$P$204,$B$5:$B$204,$B129,$D$5:$D$204,"&lt;&gt;"&amp;CashLabel)/ConcDenom))</f>
        <v/>
      </c>
      <c r="S129" s="14">
        <f>IF($B129="","",IF($D129=CashLabel,"",SUMIFS($P$5:$P$204,$E$5:$E$204,$E129,$D$5:$D$204,"&lt;&gt;"&amp;CashLabel)/ConcDenom))</f>
        <v/>
      </c>
      <c r="T129" s="14">
        <f>IF($B129="","",IF($D129=CashLabel,"",SUMIFS($P$5:$P$204,$F$5:$F$204,$F129,$D$5:$D$204,"&lt;&gt;"&amp;CashLabel)/ConcDenom))</f>
        <v/>
      </c>
      <c r="U129" s="14">
        <f>IF($B129="","",IF($D129=CashLabel,"",SUMIFS($P$5:$P$204,$D$5:$D$204,$D129,$D$5:$D$204,"&lt;&gt;"&amp;CashLabel)/ConcDenom))</f>
        <v/>
      </c>
      <c r="V129" s="15">
        <f>IF($B129="","",IF($D129=CashLabel,1,IF($R129&gt;ThrSingle,ThrSingle/$R129,1)))</f>
        <v/>
      </c>
      <c r="W129" s="15">
        <f>IF($B129="","",IF($D129=CashLabel,1,IF($S129&gt;ThrIssuer,ThrIssuer/$S129,1)))</f>
        <v/>
      </c>
      <c r="X129" s="15">
        <f>IF($B129="","",IF($D129=CashLabel,1,IF($T129&gt;IFERROR(VLOOKUP($F129,CountryThr,2,FALSE),DefThrCountry),IFERROR(VLOOKUP($F129,CountryThr,2,FALSE),DefThrCountry)/$T129,1)))</f>
        <v/>
      </c>
      <c r="Y129" s="15">
        <f>IF($B129="","",IF($D129=CashLabel,1,IF($U129&gt;IFERROR(VLOOKUP($D129,LVTable,3,FALSE),DefThrAsset),IFERROR(VLOOKUP($D129,LVTable,3,FALSE),DefThrAsset)/$U129,1)))</f>
        <v/>
      </c>
      <c r="Z129" s="34">
        <f>IF($B129="","",IF($D129=CashLabel,1,MIN($V129:$Y129)))</f>
        <v/>
      </c>
      <c r="AA129" s="25">
        <f>IF($B129="","",$P129*$Z129)</f>
        <v/>
      </c>
      <c r="AB129" s="33">
        <f>IF($B129="","",$P129-$AA129)</f>
        <v/>
      </c>
      <c r="AC129" s="21" t="n"/>
      <c r="AD129" s="33">
        <f>IF($B129="","",$M129*(1+IF(ISNUMBER($AC129),$AC129,0)))</f>
        <v/>
      </c>
      <c r="AE129" s="33">
        <f>IF($B129="","",$AD129*$O129)</f>
        <v/>
      </c>
      <c r="AF129" s="14">
        <f>IF($B129="","",IF($D129=CashLabel,"",SUMIFS($AE$5:$AE$204,$B$5:$B$204,$B129,$D$5:$D$204,"&lt;&gt;"&amp;CashLabel)/ConcDenomStr))</f>
        <v/>
      </c>
      <c r="AG129" s="14">
        <f>IF($B129="","",IF($D129=CashLabel,"",SUMIFS($AE$5:$AE$204,$E$5:$E$204,$E129,$D$5:$D$204,"&lt;&gt;"&amp;CashLabel)/ConcDenomStr))</f>
        <v/>
      </c>
      <c r="AH129" s="14">
        <f>IF($B129="","",IF($D129=CashLabel,"",SUMIFS($AE$5:$AE$204,$F$5:$F$204,$F129,$D$5:$D$204,"&lt;&gt;"&amp;CashLabel)/ConcDenomStr))</f>
        <v/>
      </c>
      <c r="AI129" s="14">
        <f>IF($B129="","",IF($D129=CashLabel,"",SUMIFS($AE$5:$AE$204,$D$5:$D$204,$D129,$D$5:$D$204,"&lt;&gt;"&amp;CashLabel)/ConcDenomStr))</f>
        <v/>
      </c>
      <c r="AJ129" s="15">
        <f>IF($B129="","",IF($D129=CashLabel,1,MIN(IF($AF129&gt;ThrSingle,ThrSingle/$AF129,1),IF($AG129&gt;ThrIssuer,ThrIssuer/$AG129,1),IF($AH129&gt;IFERROR(VLOOKUP($F129,CountryThr,2,FALSE),DefThrCountry),IFERROR(VLOOKUP($F129,CountryThr,2,FALSE),DefThrCountry)/$AH129,1),IF($AI129&gt;IFERROR(VLOOKUP($D129,LVTable,3,FALSE),DefThrAsset),IFERROR(VLOOKUP($D129,LVTable,3,FALSE),DefThrAsset)/$AI129,1))))</f>
        <v/>
      </c>
      <c r="AK129" s="33">
        <f>IF($B129="","",$AE129*$AJ129)</f>
        <v/>
      </c>
    </row>
    <row r="130">
      <c r="A130" s="16">
        <f>IF($B130="","",ROW()-4)</f>
        <v/>
      </c>
      <c r="B130" s="20" t="n"/>
      <c r="C130" s="20" t="n"/>
      <c r="D130" s="20" t="n"/>
      <c r="E130" s="20" t="n"/>
      <c r="F130" s="20" t="n"/>
      <c r="G130" s="20" t="n"/>
      <c r="H130" s="30" t="n"/>
      <c r="I130" s="30" t="n"/>
      <c r="J130" s="30" t="n"/>
      <c r="K130" s="31">
        <f>IF($B130="","",IF(ISNUMBER($J130),$J130,$I130))</f>
        <v/>
      </c>
      <c r="L130" s="32">
        <f>IF($B130="","",IFERROR(VLOOKUP($G130,FXRates,4,FALSE),1))</f>
        <v/>
      </c>
      <c r="M130" s="33">
        <f>IF($B130="","",$H130*$K130*$L130)</f>
        <v/>
      </c>
      <c r="N130" s="21" t="n"/>
      <c r="O130" s="14">
        <f>IF($B130="","",IF($D130=CashLabel,IF(ISNUMBER($N130),$N130,1),MIN(IF(ISNUMBER($N130),$N130,IFERROR(VLOOKUP($D130,LVTable,2,FALSE),0)),LVCap)))</f>
        <v/>
      </c>
      <c r="P130" s="25">
        <f>IF($B130="","",$M130*$O130)</f>
        <v/>
      </c>
      <c r="Q130" s="16">
        <f>IF($B130="","",IFERROR(VLOOKUP($G130,FXRates,5,FALSE),$G130))</f>
        <v/>
      </c>
      <c r="R130" s="14">
        <f>IF($B130="","",IF($D130=CashLabel,"",SUMIFS($P$5:$P$204,$B$5:$B$204,$B130,$D$5:$D$204,"&lt;&gt;"&amp;CashLabel)/ConcDenom))</f>
        <v/>
      </c>
      <c r="S130" s="14">
        <f>IF($B130="","",IF($D130=CashLabel,"",SUMIFS($P$5:$P$204,$E$5:$E$204,$E130,$D$5:$D$204,"&lt;&gt;"&amp;CashLabel)/ConcDenom))</f>
        <v/>
      </c>
      <c r="T130" s="14">
        <f>IF($B130="","",IF($D130=CashLabel,"",SUMIFS($P$5:$P$204,$F$5:$F$204,$F130,$D$5:$D$204,"&lt;&gt;"&amp;CashLabel)/ConcDenom))</f>
        <v/>
      </c>
      <c r="U130" s="14">
        <f>IF($B130="","",IF($D130=CashLabel,"",SUMIFS($P$5:$P$204,$D$5:$D$204,$D130,$D$5:$D$204,"&lt;&gt;"&amp;CashLabel)/ConcDenom))</f>
        <v/>
      </c>
      <c r="V130" s="15">
        <f>IF($B130="","",IF($D130=CashLabel,1,IF($R130&gt;ThrSingle,ThrSingle/$R130,1)))</f>
        <v/>
      </c>
      <c r="W130" s="15">
        <f>IF($B130="","",IF($D130=CashLabel,1,IF($S130&gt;ThrIssuer,ThrIssuer/$S130,1)))</f>
        <v/>
      </c>
      <c r="X130" s="15">
        <f>IF($B130="","",IF($D130=CashLabel,1,IF($T130&gt;IFERROR(VLOOKUP($F130,CountryThr,2,FALSE),DefThrCountry),IFERROR(VLOOKUP($F130,CountryThr,2,FALSE),DefThrCountry)/$T130,1)))</f>
        <v/>
      </c>
      <c r="Y130" s="15">
        <f>IF($B130="","",IF($D130=CashLabel,1,IF($U130&gt;IFERROR(VLOOKUP($D130,LVTable,3,FALSE),DefThrAsset),IFERROR(VLOOKUP($D130,LVTable,3,FALSE),DefThrAsset)/$U130,1)))</f>
        <v/>
      </c>
      <c r="Z130" s="34">
        <f>IF($B130="","",IF($D130=CashLabel,1,MIN($V130:$Y130)))</f>
        <v/>
      </c>
      <c r="AA130" s="25">
        <f>IF($B130="","",$P130*$Z130)</f>
        <v/>
      </c>
      <c r="AB130" s="33">
        <f>IF($B130="","",$P130-$AA130)</f>
        <v/>
      </c>
      <c r="AC130" s="21" t="n"/>
      <c r="AD130" s="33">
        <f>IF($B130="","",$M130*(1+IF(ISNUMBER($AC130),$AC130,0)))</f>
        <v/>
      </c>
      <c r="AE130" s="33">
        <f>IF($B130="","",$AD130*$O130)</f>
        <v/>
      </c>
      <c r="AF130" s="14">
        <f>IF($B130="","",IF($D130=CashLabel,"",SUMIFS($AE$5:$AE$204,$B$5:$B$204,$B130,$D$5:$D$204,"&lt;&gt;"&amp;CashLabel)/ConcDenomStr))</f>
        <v/>
      </c>
      <c r="AG130" s="14">
        <f>IF($B130="","",IF($D130=CashLabel,"",SUMIFS($AE$5:$AE$204,$E$5:$E$204,$E130,$D$5:$D$204,"&lt;&gt;"&amp;CashLabel)/ConcDenomStr))</f>
        <v/>
      </c>
      <c r="AH130" s="14">
        <f>IF($B130="","",IF($D130=CashLabel,"",SUMIFS($AE$5:$AE$204,$F$5:$F$204,$F130,$D$5:$D$204,"&lt;&gt;"&amp;CashLabel)/ConcDenomStr))</f>
        <v/>
      </c>
      <c r="AI130" s="14">
        <f>IF($B130="","",IF($D130=CashLabel,"",SUMIFS($AE$5:$AE$204,$D$5:$D$204,$D130,$D$5:$D$204,"&lt;&gt;"&amp;CashLabel)/ConcDenomStr))</f>
        <v/>
      </c>
      <c r="AJ130" s="15">
        <f>IF($B130="","",IF($D130=CashLabel,1,MIN(IF($AF130&gt;ThrSingle,ThrSingle/$AF130,1),IF($AG130&gt;ThrIssuer,ThrIssuer/$AG130,1),IF($AH130&gt;IFERROR(VLOOKUP($F130,CountryThr,2,FALSE),DefThrCountry),IFERROR(VLOOKUP($F130,CountryThr,2,FALSE),DefThrCountry)/$AH130,1),IF($AI130&gt;IFERROR(VLOOKUP($D130,LVTable,3,FALSE),DefThrAsset),IFERROR(VLOOKUP($D130,LVTable,3,FALSE),DefThrAsset)/$AI130,1))))</f>
        <v/>
      </c>
      <c r="AK130" s="33">
        <f>IF($B130="","",$AE130*$AJ130)</f>
        <v/>
      </c>
    </row>
    <row r="131">
      <c r="A131" s="16">
        <f>IF($B131="","",ROW()-4)</f>
        <v/>
      </c>
      <c r="B131" s="20" t="n"/>
      <c r="C131" s="20" t="n"/>
      <c r="D131" s="20" t="n"/>
      <c r="E131" s="20" t="n"/>
      <c r="F131" s="20" t="n"/>
      <c r="G131" s="20" t="n"/>
      <c r="H131" s="30" t="n"/>
      <c r="I131" s="30" t="n"/>
      <c r="J131" s="30" t="n"/>
      <c r="K131" s="31">
        <f>IF($B131="","",IF(ISNUMBER($J131),$J131,$I131))</f>
        <v/>
      </c>
      <c r="L131" s="32">
        <f>IF($B131="","",IFERROR(VLOOKUP($G131,FXRates,4,FALSE),1))</f>
        <v/>
      </c>
      <c r="M131" s="33">
        <f>IF($B131="","",$H131*$K131*$L131)</f>
        <v/>
      </c>
      <c r="N131" s="21" t="n"/>
      <c r="O131" s="14">
        <f>IF($B131="","",IF($D131=CashLabel,IF(ISNUMBER($N131),$N131,1),MIN(IF(ISNUMBER($N131),$N131,IFERROR(VLOOKUP($D131,LVTable,2,FALSE),0)),LVCap)))</f>
        <v/>
      </c>
      <c r="P131" s="25">
        <f>IF($B131="","",$M131*$O131)</f>
        <v/>
      </c>
      <c r="Q131" s="16">
        <f>IF($B131="","",IFERROR(VLOOKUP($G131,FXRates,5,FALSE),$G131))</f>
        <v/>
      </c>
      <c r="R131" s="14">
        <f>IF($B131="","",IF($D131=CashLabel,"",SUMIFS($P$5:$P$204,$B$5:$B$204,$B131,$D$5:$D$204,"&lt;&gt;"&amp;CashLabel)/ConcDenom))</f>
        <v/>
      </c>
      <c r="S131" s="14">
        <f>IF($B131="","",IF($D131=CashLabel,"",SUMIFS($P$5:$P$204,$E$5:$E$204,$E131,$D$5:$D$204,"&lt;&gt;"&amp;CashLabel)/ConcDenom))</f>
        <v/>
      </c>
      <c r="T131" s="14">
        <f>IF($B131="","",IF($D131=CashLabel,"",SUMIFS($P$5:$P$204,$F$5:$F$204,$F131,$D$5:$D$204,"&lt;&gt;"&amp;CashLabel)/ConcDenom))</f>
        <v/>
      </c>
      <c r="U131" s="14">
        <f>IF($B131="","",IF($D131=CashLabel,"",SUMIFS($P$5:$P$204,$D$5:$D$204,$D131,$D$5:$D$204,"&lt;&gt;"&amp;CashLabel)/ConcDenom))</f>
        <v/>
      </c>
      <c r="V131" s="15">
        <f>IF($B131="","",IF($D131=CashLabel,1,IF($R131&gt;ThrSingle,ThrSingle/$R131,1)))</f>
        <v/>
      </c>
      <c r="W131" s="15">
        <f>IF($B131="","",IF($D131=CashLabel,1,IF($S131&gt;ThrIssuer,ThrIssuer/$S131,1)))</f>
        <v/>
      </c>
      <c r="X131" s="15">
        <f>IF($B131="","",IF($D131=CashLabel,1,IF($T131&gt;IFERROR(VLOOKUP($F131,CountryThr,2,FALSE),DefThrCountry),IFERROR(VLOOKUP($F131,CountryThr,2,FALSE),DefThrCountry)/$T131,1)))</f>
        <v/>
      </c>
      <c r="Y131" s="15">
        <f>IF($B131="","",IF($D131=CashLabel,1,IF($U131&gt;IFERROR(VLOOKUP($D131,LVTable,3,FALSE),DefThrAsset),IFERROR(VLOOKUP($D131,LVTable,3,FALSE),DefThrAsset)/$U131,1)))</f>
        <v/>
      </c>
      <c r="Z131" s="34">
        <f>IF($B131="","",IF($D131=CashLabel,1,MIN($V131:$Y131)))</f>
        <v/>
      </c>
      <c r="AA131" s="25">
        <f>IF($B131="","",$P131*$Z131)</f>
        <v/>
      </c>
      <c r="AB131" s="33">
        <f>IF($B131="","",$P131-$AA131)</f>
        <v/>
      </c>
      <c r="AC131" s="21" t="n"/>
      <c r="AD131" s="33">
        <f>IF($B131="","",$M131*(1+IF(ISNUMBER($AC131),$AC131,0)))</f>
        <v/>
      </c>
      <c r="AE131" s="33">
        <f>IF($B131="","",$AD131*$O131)</f>
        <v/>
      </c>
      <c r="AF131" s="14">
        <f>IF($B131="","",IF($D131=CashLabel,"",SUMIFS($AE$5:$AE$204,$B$5:$B$204,$B131,$D$5:$D$204,"&lt;&gt;"&amp;CashLabel)/ConcDenomStr))</f>
        <v/>
      </c>
      <c r="AG131" s="14">
        <f>IF($B131="","",IF($D131=CashLabel,"",SUMIFS($AE$5:$AE$204,$E$5:$E$204,$E131,$D$5:$D$204,"&lt;&gt;"&amp;CashLabel)/ConcDenomStr))</f>
        <v/>
      </c>
      <c r="AH131" s="14">
        <f>IF($B131="","",IF($D131=CashLabel,"",SUMIFS($AE$5:$AE$204,$F$5:$F$204,$F131,$D$5:$D$204,"&lt;&gt;"&amp;CashLabel)/ConcDenomStr))</f>
        <v/>
      </c>
      <c r="AI131" s="14">
        <f>IF($B131="","",IF($D131=CashLabel,"",SUMIFS($AE$5:$AE$204,$D$5:$D$204,$D131,$D$5:$D$204,"&lt;&gt;"&amp;CashLabel)/ConcDenomStr))</f>
        <v/>
      </c>
      <c r="AJ131" s="15">
        <f>IF($B131="","",IF($D131=CashLabel,1,MIN(IF($AF131&gt;ThrSingle,ThrSingle/$AF131,1),IF($AG131&gt;ThrIssuer,ThrIssuer/$AG131,1),IF($AH131&gt;IFERROR(VLOOKUP($F131,CountryThr,2,FALSE),DefThrCountry),IFERROR(VLOOKUP($F131,CountryThr,2,FALSE),DefThrCountry)/$AH131,1),IF($AI131&gt;IFERROR(VLOOKUP($D131,LVTable,3,FALSE),DefThrAsset),IFERROR(VLOOKUP($D131,LVTable,3,FALSE),DefThrAsset)/$AI131,1))))</f>
        <v/>
      </c>
      <c r="AK131" s="33">
        <f>IF($B131="","",$AE131*$AJ131)</f>
        <v/>
      </c>
    </row>
    <row r="132">
      <c r="A132" s="16">
        <f>IF($B132="","",ROW()-4)</f>
        <v/>
      </c>
      <c r="B132" s="20" t="n"/>
      <c r="C132" s="20" t="n"/>
      <c r="D132" s="20" t="n"/>
      <c r="E132" s="20" t="n"/>
      <c r="F132" s="20" t="n"/>
      <c r="G132" s="20" t="n"/>
      <c r="H132" s="30" t="n"/>
      <c r="I132" s="30" t="n"/>
      <c r="J132" s="30" t="n"/>
      <c r="K132" s="31">
        <f>IF($B132="","",IF(ISNUMBER($J132),$J132,$I132))</f>
        <v/>
      </c>
      <c r="L132" s="32">
        <f>IF($B132="","",IFERROR(VLOOKUP($G132,FXRates,4,FALSE),1))</f>
        <v/>
      </c>
      <c r="M132" s="33">
        <f>IF($B132="","",$H132*$K132*$L132)</f>
        <v/>
      </c>
      <c r="N132" s="21" t="n"/>
      <c r="O132" s="14">
        <f>IF($B132="","",IF($D132=CashLabel,IF(ISNUMBER($N132),$N132,1),MIN(IF(ISNUMBER($N132),$N132,IFERROR(VLOOKUP($D132,LVTable,2,FALSE),0)),LVCap)))</f>
        <v/>
      </c>
      <c r="P132" s="25">
        <f>IF($B132="","",$M132*$O132)</f>
        <v/>
      </c>
      <c r="Q132" s="16">
        <f>IF($B132="","",IFERROR(VLOOKUP($G132,FXRates,5,FALSE),$G132))</f>
        <v/>
      </c>
      <c r="R132" s="14">
        <f>IF($B132="","",IF($D132=CashLabel,"",SUMIFS($P$5:$P$204,$B$5:$B$204,$B132,$D$5:$D$204,"&lt;&gt;"&amp;CashLabel)/ConcDenom))</f>
        <v/>
      </c>
      <c r="S132" s="14">
        <f>IF($B132="","",IF($D132=CashLabel,"",SUMIFS($P$5:$P$204,$E$5:$E$204,$E132,$D$5:$D$204,"&lt;&gt;"&amp;CashLabel)/ConcDenom))</f>
        <v/>
      </c>
      <c r="T132" s="14">
        <f>IF($B132="","",IF($D132=CashLabel,"",SUMIFS($P$5:$P$204,$F$5:$F$204,$F132,$D$5:$D$204,"&lt;&gt;"&amp;CashLabel)/ConcDenom))</f>
        <v/>
      </c>
      <c r="U132" s="14">
        <f>IF($B132="","",IF($D132=CashLabel,"",SUMIFS($P$5:$P$204,$D$5:$D$204,$D132,$D$5:$D$204,"&lt;&gt;"&amp;CashLabel)/ConcDenom))</f>
        <v/>
      </c>
      <c r="V132" s="15">
        <f>IF($B132="","",IF($D132=CashLabel,1,IF($R132&gt;ThrSingle,ThrSingle/$R132,1)))</f>
        <v/>
      </c>
      <c r="W132" s="15">
        <f>IF($B132="","",IF($D132=CashLabel,1,IF($S132&gt;ThrIssuer,ThrIssuer/$S132,1)))</f>
        <v/>
      </c>
      <c r="X132" s="15">
        <f>IF($B132="","",IF($D132=CashLabel,1,IF($T132&gt;IFERROR(VLOOKUP($F132,CountryThr,2,FALSE),DefThrCountry),IFERROR(VLOOKUP($F132,CountryThr,2,FALSE),DefThrCountry)/$T132,1)))</f>
        <v/>
      </c>
      <c r="Y132" s="15">
        <f>IF($B132="","",IF($D132=CashLabel,1,IF($U132&gt;IFERROR(VLOOKUP($D132,LVTable,3,FALSE),DefThrAsset),IFERROR(VLOOKUP($D132,LVTable,3,FALSE),DefThrAsset)/$U132,1)))</f>
        <v/>
      </c>
      <c r="Z132" s="34">
        <f>IF($B132="","",IF($D132=CashLabel,1,MIN($V132:$Y132)))</f>
        <v/>
      </c>
      <c r="AA132" s="25">
        <f>IF($B132="","",$P132*$Z132)</f>
        <v/>
      </c>
      <c r="AB132" s="33">
        <f>IF($B132="","",$P132-$AA132)</f>
        <v/>
      </c>
      <c r="AC132" s="21" t="n"/>
      <c r="AD132" s="33">
        <f>IF($B132="","",$M132*(1+IF(ISNUMBER($AC132),$AC132,0)))</f>
        <v/>
      </c>
      <c r="AE132" s="33">
        <f>IF($B132="","",$AD132*$O132)</f>
        <v/>
      </c>
      <c r="AF132" s="14">
        <f>IF($B132="","",IF($D132=CashLabel,"",SUMIFS($AE$5:$AE$204,$B$5:$B$204,$B132,$D$5:$D$204,"&lt;&gt;"&amp;CashLabel)/ConcDenomStr))</f>
        <v/>
      </c>
      <c r="AG132" s="14">
        <f>IF($B132="","",IF($D132=CashLabel,"",SUMIFS($AE$5:$AE$204,$E$5:$E$204,$E132,$D$5:$D$204,"&lt;&gt;"&amp;CashLabel)/ConcDenomStr))</f>
        <v/>
      </c>
      <c r="AH132" s="14">
        <f>IF($B132="","",IF($D132=CashLabel,"",SUMIFS($AE$5:$AE$204,$F$5:$F$204,$F132,$D$5:$D$204,"&lt;&gt;"&amp;CashLabel)/ConcDenomStr))</f>
        <v/>
      </c>
      <c r="AI132" s="14">
        <f>IF($B132="","",IF($D132=CashLabel,"",SUMIFS($AE$5:$AE$204,$D$5:$D$204,$D132,$D$5:$D$204,"&lt;&gt;"&amp;CashLabel)/ConcDenomStr))</f>
        <v/>
      </c>
      <c r="AJ132" s="15">
        <f>IF($B132="","",IF($D132=CashLabel,1,MIN(IF($AF132&gt;ThrSingle,ThrSingle/$AF132,1),IF($AG132&gt;ThrIssuer,ThrIssuer/$AG132,1),IF($AH132&gt;IFERROR(VLOOKUP($F132,CountryThr,2,FALSE),DefThrCountry),IFERROR(VLOOKUP($F132,CountryThr,2,FALSE),DefThrCountry)/$AH132,1),IF($AI132&gt;IFERROR(VLOOKUP($D132,LVTable,3,FALSE),DefThrAsset),IFERROR(VLOOKUP($D132,LVTable,3,FALSE),DefThrAsset)/$AI132,1))))</f>
        <v/>
      </c>
      <c r="AK132" s="33">
        <f>IF($B132="","",$AE132*$AJ132)</f>
        <v/>
      </c>
    </row>
    <row r="133">
      <c r="A133" s="16">
        <f>IF($B133="","",ROW()-4)</f>
        <v/>
      </c>
      <c r="B133" s="20" t="n"/>
      <c r="C133" s="20" t="n"/>
      <c r="D133" s="20" t="n"/>
      <c r="E133" s="20" t="n"/>
      <c r="F133" s="20" t="n"/>
      <c r="G133" s="20" t="n"/>
      <c r="H133" s="30" t="n"/>
      <c r="I133" s="30" t="n"/>
      <c r="J133" s="30" t="n"/>
      <c r="K133" s="31">
        <f>IF($B133="","",IF(ISNUMBER($J133),$J133,$I133))</f>
        <v/>
      </c>
      <c r="L133" s="32">
        <f>IF($B133="","",IFERROR(VLOOKUP($G133,FXRates,4,FALSE),1))</f>
        <v/>
      </c>
      <c r="M133" s="33">
        <f>IF($B133="","",$H133*$K133*$L133)</f>
        <v/>
      </c>
      <c r="N133" s="21" t="n"/>
      <c r="O133" s="14">
        <f>IF($B133="","",IF($D133=CashLabel,IF(ISNUMBER($N133),$N133,1),MIN(IF(ISNUMBER($N133),$N133,IFERROR(VLOOKUP($D133,LVTable,2,FALSE),0)),LVCap)))</f>
        <v/>
      </c>
      <c r="P133" s="25">
        <f>IF($B133="","",$M133*$O133)</f>
        <v/>
      </c>
      <c r="Q133" s="16">
        <f>IF($B133="","",IFERROR(VLOOKUP($G133,FXRates,5,FALSE),$G133))</f>
        <v/>
      </c>
      <c r="R133" s="14">
        <f>IF($B133="","",IF($D133=CashLabel,"",SUMIFS($P$5:$P$204,$B$5:$B$204,$B133,$D$5:$D$204,"&lt;&gt;"&amp;CashLabel)/ConcDenom))</f>
        <v/>
      </c>
      <c r="S133" s="14">
        <f>IF($B133="","",IF($D133=CashLabel,"",SUMIFS($P$5:$P$204,$E$5:$E$204,$E133,$D$5:$D$204,"&lt;&gt;"&amp;CashLabel)/ConcDenom))</f>
        <v/>
      </c>
      <c r="T133" s="14">
        <f>IF($B133="","",IF($D133=CashLabel,"",SUMIFS($P$5:$P$204,$F$5:$F$204,$F133,$D$5:$D$204,"&lt;&gt;"&amp;CashLabel)/ConcDenom))</f>
        <v/>
      </c>
      <c r="U133" s="14">
        <f>IF($B133="","",IF($D133=CashLabel,"",SUMIFS($P$5:$P$204,$D$5:$D$204,$D133,$D$5:$D$204,"&lt;&gt;"&amp;CashLabel)/ConcDenom))</f>
        <v/>
      </c>
      <c r="V133" s="15">
        <f>IF($B133="","",IF($D133=CashLabel,1,IF($R133&gt;ThrSingle,ThrSingle/$R133,1)))</f>
        <v/>
      </c>
      <c r="W133" s="15">
        <f>IF($B133="","",IF($D133=CashLabel,1,IF($S133&gt;ThrIssuer,ThrIssuer/$S133,1)))</f>
        <v/>
      </c>
      <c r="X133" s="15">
        <f>IF($B133="","",IF($D133=CashLabel,1,IF($T133&gt;IFERROR(VLOOKUP($F133,CountryThr,2,FALSE),DefThrCountry),IFERROR(VLOOKUP($F133,CountryThr,2,FALSE),DefThrCountry)/$T133,1)))</f>
        <v/>
      </c>
      <c r="Y133" s="15">
        <f>IF($B133="","",IF($D133=CashLabel,1,IF($U133&gt;IFERROR(VLOOKUP($D133,LVTable,3,FALSE),DefThrAsset),IFERROR(VLOOKUP($D133,LVTable,3,FALSE),DefThrAsset)/$U133,1)))</f>
        <v/>
      </c>
      <c r="Z133" s="34">
        <f>IF($B133="","",IF($D133=CashLabel,1,MIN($V133:$Y133)))</f>
        <v/>
      </c>
      <c r="AA133" s="25">
        <f>IF($B133="","",$P133*$Z133)</f>
        <v/>
      </c>
      <c r="AB133" s="33">
        <f>IF($B133="","",$P133-$AA133)</f>
        <v/>
      </c>
      <c r="AC133" s="21" t="n"/>
      <c r="AD133" s="33">
        <f>IF($B133="","",$M133*(1+IF(ISNUMBER($AC133),$AC133,0)))</f>
        <v/>
      </c>
      <c r="AE133" s="33">
        <f>IF($B133="","",$AD133*$O133)</f>
        <v/>
      </c>
      <c r="AF133" s="14">
        <f>IF($B133="","",IF($D133=CashLabel,"",SUMIFS($AE$5:$AE$204,$B$5:$B$204,$B133,$D$5:$D$204,"&lt;&gt;"&amp;CashLabel)/ConcDenomStr))</f>
        <v/>
      </c>
      <c r="AG133" s="14">
        <f>IF($B133="","",IF($D133=CashLabel,"",SUMIFS($AE$5:$AE$204,$E$5:$E$204,$E133,$D$5:$D$204,"&lt;&gt;"&amp;CashLabel)/ConcDenomStr))</f>
        <v/>
      </c>
      <c r="AH133" s="14">
        <f>IF($B133="","",IF($D133=CashLabel,"",SUMIFS($AE$5:$AE$204,$F$5:$F$204,$F133,$D$5:$D$204,"&lt;&gt;"&amp;CashLabel)/ConcDenomStr))</f>
        <v/>
      </c>
      <c r="AI133" s="14">
        <f>IF($B133="","",IF($D133=CashLabel,"",SUMIFS($AE$5:$AE$204,$D$5:$D$204,$D133,$D$5:$D$204,"&lt;&gt;"&amp;CashLabel)/ConcDenomStr))</f>
        <v/>
      </c>
      <c r="AJ133" s="15">
        <f>IF($B133="","",IF($D133=CashLabel,1,MIN(IF($AF133&gt;ThrSingle,ThrSingle/$AF133,1),IF($AG133&gt;ThrIssuer,ThrIssuer/$AG133,1),IF($AH133&gt;IFERROR(VLOOKUP($F133,CountryThr,2,FALSE),DefThrCountry),IFERROR(VLOOKUP($F133,CountryThr,2,FALSE),DefThrCountry)/$AH133,1),IF($AI133&gt;IFERROR(VLOOKUP($D133,LVTable,3,FALSE),DefThrAsset),IFERROR(VLOOKUP($D133,LVTable,3,FALSE),DefThrAsset)/$AI133,1))))</f>
        <v/>
      </c>
      <c r="AK133" s="33">
        <f>IF($B133="","",$AE133*$AJ133)</f>
        <v/>
      </c>
    </row>
    <row r="134">
      <c r="A134" s="16">
        <f>IF($B134="","",ROW()-4)</f>
        <v/>
      </c>
      <c r="B134" s="20" t="n"/>
      <c r="C134" s="20" t="n"/>
      <c r="D134" s="20" t="n"/>
      <c r="E134" s="20" t="n"/>
      <c r="F134" s="20" t="n"/>
      <c r="G134" s="20" t="n"/>
      <c r="H134" s="30" t="n"/>
      <c r="I134" s="30" t="n"/>
      <c r="J134" s="30" t="n"/>
      <c r="K134" s="31">
        <f>IF($B134="","",IF(ISNUMBER($J134),$J134,$I134))</f>
        <v/>
      </c>
      <c r="L134" s="32">
        <f>IF($B134="","",IFERROR(VLOOKUP($G134,FXRates,4,FALSE),1))</f>
        <v/>
      </c>
      <c r="M134" s="33">
        <f>IF($B134="","",$H134*$K134*$L134)</f>
        <v/>
      </c>
      <c r="N134" s="21" t="n"/>
      <c r="O134" s="14">
        <f>IF($B134="","",IF($D134=CashLabel,IF(ISNUMBER($N134),$N134,1),MIN(IF(ISNUMBER($N134),$N134,IFERROR(VLOOKUP($D134,LVTable,2,FALSE),0)),LVCap)))</f>
        <v/>
      </c>
      <c r="P134" s="25">
        <f>IF($B134="","",$M134*$O134)</f>
        <v/>
      </c>
      <c r="Q134" s="16">
        <f>IF($B134="","",IFERROR(VLOOKUP($G134,FXRates,5,FALSE),$G134))</f>
        <v/>
      </c>
      <c r="R134" s="14">
        <f>IF($B134="","",IF($D134=CashLabel,"",SUMIFS($P$5:$P$204,$B$5:$B$204,$B134,$D$5:$D$204,"&lt;&gt;"&amp;CashLabel)/ConcDenom))</f>
        <v/>
      </c>
      <c r="S134" s="14">
        <f>IF($B134="","",IF($D134=CashLabel,"",SUMIFS($P$5:$P$204,$E$5:$E$204,$E134,$D$5:$D$204,"&lt;&gt;"&amp;CashLabel)/ConcDenom))</f>
        <v/>
      </c>
      <c r="T134" s="14">
        <f>IF($B134="","",IF($D134=CashLabel,"",SUMIFS($P$5:$P$204,$F$5:$F$204,$F134,$D$5:$D$204,"&lt;&gt;"&amp;CashLabel)/ConcDenom))</f>
        <v/>
      </c>
      <c r="U134" s="14">
        <f>IF($B134="","",IF($D134=CashLabel,"",SUMIFS($P$5:$P$204,$D$5:$D$204,$D134,$D$5:$D$204,"&lt;&gt;"&amp;CashLabel)/ConcDenom))</f>
        <v/>
      </c>
      <c r="V134" s="15">
        <f>IF($B134="","",IF($D134=CashLabel,1,IF($R134&gt;ThrSingle,ThrSingle/$R134,1)))</f>
        <v/>
      </c>
      <c r="W134" s="15">
        <f>IF($B134="","",IF($D134=CashLabel,1,IF($S134&gt;ThrIssuer,ThrIssuer/$S134,1)))</f>
        <v/>
      </c>
      <c r="X134" s="15">
        <f>IF($B134="","",IF($D134=CashLabel,1,IF($T134&gt;IFERROR(VLOOKUP($F134,CountryThr,2,FALSE),DefThrCountry),IFERROR(VLOOKUP($F134,CountryThr,2,FALSE),DefThrCountry)/$T134,1)))</f>
        <v/>
      </c>
      <c r="Y134" s="15">
        <f>IF($B134="","",IF($D134=CashLabel,1,IF($U134&gt;IFERROR(VLOOKUP($D134,LVTable,3,FALSE),DefThrAsset),IFERROR(VLOOKUP($D134,LVTable,3,FALSE),DefThrAsset)/$U134,1)))</f>
        <v/>
      </c>
      <c r="Z134" s="34">
        <f>IF($B134="","",IF($D134=CashLabel,1,MIN($V134:$Y134)))</f>
        <v/>
      </c>
      <c r="AA134" s="25">
        <f>IF($B134="","",$P134*$Z134)</f>
        <v/>
      </c>
      <c r="AB134" s="33">
        <f>IF($B134="","",$P134-$AA134)</f>
        <v/>
      </c>
      <c r="AC134" s="21" t="n"/>
      <c r="AD134" s="33">
        <f>IF($B134="","",$M134*(1+IF(ISNUMBER($AC134),$AC134,0)))</f>
        <v/>
      </c>
      <c r="AE134" s="33">
        <f>IF($B134="","",$AD134*$O134)</f>
        <v/>
      </c>
      <c r="AF134" s="14">
        <f>IF($B134="","",IF($D134=CashLabel,"",SUMIFS($AE$5:$AE$204,$B$5:$B$204,$B134,$D$5:$D$204,"&lt;&gt;"&amp;CashLabel)/ConcDenomStr))</f>
        <v/>
      </c>
      <c r="AG134" s="14">
        <f>IF($B134="","",IF($D134=CashLabel,"",SUMIFS($AE$5:$AE$204,$E$5:$E$204,$E134,$D$5:$D$204,"&lt;&gt;"&amp;CashLabel)/ConcDenomStr))</f>
        <v/>
      </c>
      <c r="AH134" s="14">
        <f>IF($B134="","",IF($D134=CashLabel,"",SUMIFS($AE$5:$AE$204,$F$5:$F$204,$F134,$D$5:$D$204,"&lt;&gt;"&amp;CashLabel)/ConcDenomStr))</f>
        <v/>
      </c>
      <c r="AI134" s="14">
        <f>IF($B134="","",IF($D134=CashLabel,"",SUMIFS($AE$5:$AE$204,$D$5:$D$204,$D134,$D$5:$D$204,"&lt;&gt;"&amp;CashLabel)/ConcDenomStr))</f>
        <v/>
      </c>
      <c r="AJ134" s="15">
        <f>IF($B134="","",IF($D134=CashLabel,1,MIN(IF($AF134&gt;ThrSingle,ThrSingle/$AF134,1),IF($AG134&gt;ThrIssuer,ThrIssuer/$AG134,1),IF($AH134&gt;IFERROR(VLOOKUP($F134,CountryThr,2,FALSE),DefThrCountry),IFERROR(VLOOKUP($F134,CountryThr,2,FALSE),DefThrCountry)/$AH134,1),IF($AI134&gt;IFERROR(VLOOKUP($D134,LVTable,3,FALSE),DefThrAsset),IFERROR(VLOOKUP($D134,LVTable,3,FALSE),DefThrAsset)/$AI134,1))))</f>
        <v/>
      </c>
      <c r="AK134" s="33">
        <f>IF($B134="","",$AE134*$AJ134)</f>
        <v/>
      </c>
    </row>
    <row r="135">
      <c r="A135" s="16">
        <f>IF($B135="","",ROW()-4)</f>
        <v/>
      </c>
      <c r="B135" s="20" t="n"/>
      <c r="C135" s="20" t="n"/>
      <c r="D135" s="20" t="n"/>
      <c r="E135" s="20" t="n"/>
      <c r="F135" s="20" t="n"/>
      <c r="G135" s="20" t="n"/>
      <c r="H135" s="30" t="n"/>
      <c r="I135" s="30" t="n"/>
      <c r="J135" s="30" t="n"/>
      <c r="K135" s="31">
        <f>IF($B135="","",IF(ISNUMBER($J135),$J135,$I135))</f>
        <v/>
      </c>
      <c r="L135" s="32">
        <f>IF($B135="","",IFERROR(VLOOKUP($G135,FXRates,4,FALSE),1))</f>
        <v/>
      </c>
      <c r="M135" s="33">
        <f>IF($B135="","",$H135*$K135*$L135)</f>
        <v/>
      </c>
      <c r="N135" s="21" t="n"/>
      <c r="O135" s="14">
        <f>IF($B135="","",IF($D135=CashLabel,IF(ISNUMBER($N135),$N135,1),MIN(IF(ISNUMBER($N135),$N135,IFERROR(VLOOKUP($D135,LVTable,2,FALSE),0)),LVCap)))</f>
        <v/>
      </c>
      <c r="P135" s="25">
        <f>IF($B135="","",$M135*$O135)</f>
        <v/>
      </c>
      <c r="Q135" s="16">
        <f>IF($B135="","",IFERROR(VLOOKUP($G135,FXRates,5,FALSE),$G135))</f>
        <v/>
      </c>
      <c r="R135" s="14">
        <f>IF($B135="","",IF($D135=CashLabel,"",SUMIFS($P$5:$P$204,$B$5:$B$204,$B135,$D$5:$D$204,"&lt;&gt;"&amp;CashLabel)/ConcDenom))</f>
        <v/>
      </c>
      <c r="S135" s="14">
        <f>IF($B135="","",IF($D135=CashLabel,"",SUMIFS($P$5:$P$204,$E$5:$E$204,$E135,$D$5:$D$204,"&lt;&gt;"&amp;CashLabel)/ConcDenom))</f>
        <v/>
      </c>
      <c r="T135" s="14">
        <f>IF($B135="","",IF($D135=CashLabel,"",SUMIFS($P$5:$P$204,$F$5:$F$204,$F135,$D$5:$D$204,"&lt;&gt;"&amp;CashLabel)/ConcDenom))</f>
        <v/>
      </c>
      <c r="U135" s="14">
        <f>IF($B135="","",IF($D135=CashLabel,"",SUMIFS($P$5:$P$204,$D$5:$D$204,$D135,$D$5:$D$204,"&lt;&gt;"&amp;CashLabel)/ConcDenom))</f>
        <v/>
      </c>
      <c r="V135" s="15">
        <f>IF($B135="","",IF($D135=CashLabel,1,IF($R135&gt;ThrSingle,ThrSingle/$R135,1)))</f>
        <v/>
      </c>
      <c r="W135" s="15">
        <f>IF($B135="","",IF($D135=CashLabel,1,IF($S135&gt;ThrIssuer,ThrIssuer/$S135,1)))</f>
        <v/>
      </c>
      <c r="X135" s="15">
        <f>IF($B135="","",IF($D135=CashLabel,1,IF($T135&gt;IFERROR(VLOOKUP($F135,CountryThr,2,FALSE),DefThrCountry),IFERROR(VLOOKUP($F135,CountryThr,2,FALSE),DefThrCountry)/$T135,1)))</f>
        <v/>
      </c>
      <c r="Y135" s="15">
        <f>IF($B135="","",IF($D135=CashLabel,1,IF($U135&gt;IFERROR(VLOOKUP($D135,LVTable,3,FALSE),DefThrAsset),IFERROR(VLOOKUP($D135,LVTable,3,FALSE),DefThrAsset)/$U135,1)))</f>
        <v/>
      </c>
      <c r="Z135" s="34">
        <f>IF($B135="","",IF($D135=CashLabel,1,MIN($V135:$Y135)))</f>
        <v/>
      </c>
      <c r="AA135" s="25">
        <f>IF($B135="","",$P135*$Z135)</f>
        <v/>
      </c>
      <c r="AB135" s="33">
        <f>IF($B135="","",$P135-$AA135)</f>
        <v/>
      </c>
      <c r="AC135" s="21" t="n"/>
      <c r="AD135" s="33">
        <f>IF($B135="","",$M135*(1+IF(ISNUMBER($AC135),$AC135,0)))</f>
        <v/>
      </c>
      <c r="AE135" s="33">
        <f>IF($B135="","",$AD135*$O135)</f>
        <v/>
      </c>
      <c r="AF135" s="14">
        <f>IF($B135="","",IF($D135=CashLabel,"",SUMIFS($AE$5:$AE$204,$B$5:$B$204,$B135,$D$5:$D$204,"&lt;&gt;"&amp;CashLabel)/ConcDenomStr))</f>
        <v/>
      </c>
      <c r="AG135" s="14">
        <f>IF($B135="","",IF($D135=CashLabel,"",SUMIFS($AE$5:$AE$204,$E$5:$E$204,$E135,$D$5:$D$204,"&lt;&gt;"&amp;CashLabel)/ConcDenomStr))</f>
        <v/>
      </c>
      <c r="AH135" s="14">
        <f>IF($B135="","",IF($D135=CashLabel,"",SUMIFS($AE$5:$AE$204,$F$5:$F$204,$F135,$D$5:$D$204,"&lt;&gt;"&amp;CashLabel)/ConcDenomStr))</f>
        <v/>
      </c>
      <c r="AI135" s="14">
        <f>IF($B135="","",IF($D135=CashLabel,"",SUMIFS($AE$5:$AE$204,$D$5:$D$204,$D135,$D$5:$D$204,"&lt;&gt;"&amp;CashLabel)/ConcDenomStr))</f>
        <v/>
      </c>
      <c r="AJ135" s="15">
        <f>IF($B135="","",IF($D135=CashLabel,1,MIN(IF($AF135&gt;ThrSingle,ThrSingle/$AF135,1),IF($AG135&gt;ThrIssuer,ThrIssuer/$AG135,1),IF($AH135&gt;IFERROR(VLOOKUP($F135,CountryThr,2,FALSE),DefThrCountry),IFERROR(VLOOKUP($F135,CountryThr,2,FALSE),DefThrCountry)/$AH135,1),IF($AI135&gt;IFERROR(VLOOKUP($D135,LVTable,3,FALSE),DefThrAsset),IFERROR(VLOOKUP($D135,LVTable,3,FALSE),DefThrAsset)/$AI135,1))))</f>
        <v/>
      </c>
      <c r="AK135" s="33">
        <f>IF($B135="","",$AE135*$AJ135)</f>
        <v/>
      </c>
    </row>
    <row r="136">
      <c r="A136" s="16">
        <f>IF($B136="","",ROW()-4)</f>
        <v/>
      </c>
      <c r="B136" s="20" t="n"/>
      <c r="C136" s="20" t="n"/>
      <c r="D136" s="20" t="n"/>
      <c r="E136" s="20" t="n"/>
      <c r="F136" s="20" t="n"/>
      <c r="G136" s="20" t="n"/>
      <c r="H136" s="30" t="n"/>
      <c r="I136" s="30" t="n"/>
      <c r="J136" s="30" t="n"/>
      <c r="K136" s="31">
        <f>IF($B136="","",IF(ISNUMBER($J136),$J136,$I136))</f>
        <v/>
      </c>
      <c r="L136" s="32">
        <f>IF($B136="","",IFERROR(VLOOKUP($G136,FXRates,4,FALSE),1))</f>
        <v/>
      </c>
      <c r="M136" s="33">
        <f>IF($B136="","",$H136*$K136*$L136)</f>
        <v/>
      </c>
      <c r="N136" s="21" t="n"/>
      <c r="O136" s="14">
        <f>IF($B136="","",IF($D136=CashLabel,IF(ISNUMBER($N136),$N136,1),MIN(IF(ISNUMBER($N136),$N136,IFERROR(VLOOKUP($D136,LVTable,2,FALSE),0)),LVCap)))</f>
        <v/>
      </c>
      <c r="P136" s="25">
        <f>IF($B136="","",$M136*$O136)</f>
        <v/>
      </c>
      <c r="Q136" s="16">
        <f>IF($B136="","",IFERROR(VLOOKUP($G136,FXRates,5,FALSE),$G136))</f>
        <v/>
      </c>
      <c r="R136" s="14">
        <f>IF($B136="","",IF($D136=CashLabel,"",SUMIFS($P$5:$P$204,$B$5:$B$204,$B136,$D$5:$D$204,"&lt;&gt;"&amp;CashLabel)/ConcDenom))</f>
        <v/>
      </c>
      <c r="S136" s="14">
        <f>IF($B136="","",IF($D136=CashLabel,"",SUMIFS($P$5:$P$204,$E$5:$E$204,$E136,$D$5:$D$204,"&lt;&gt;"&amp;CashLabel)/ConcDenom))</f>
        <v/>
      </c>
      <c r="T136" s="14">
        <f>IF($B136="","",IF($D136=CashLabel,"",SUMIFS($P$5:$P$204,$F$5:$F$204,$F136,$D$5:$D$204,"&lt;&gt;"&amp;CashLabel)/ConcDenom))</f>
        <v/>
      </c>
      <c r="U136" s="14">
        <f>IF($B136="","",IF($D136=CashLabel,"",SUMIFS($P$5:$P$204,$D$5:$D$204,$D136,$D$5:$D$204,"&lt;&gt;"&amp;CashLabel)/ConcDenom))</f>
        <v/>
      </c>
      <c r="V136" s="15">
        <f>IF($B136="","",IF($D136=CashLabel,1,IF($R136&gt;ThrSingle,ThrSingle/$R136,1)))</f>
        <v/>
      </c>
      <c r="W136" s="15">
        <f>IF($B136="","",IF($D136=CashLabel,1,IF($S136&gt;ThrIssuer,ThrIssuer/$S136,1)))</f>
        <v/>
      </c>
      <c r="X136" s="15">
        <f>IF($B136="","",IF($D136=CashLabel,1,IF($T136&gt;IFERROR(VLOOKUP($F136,CountryThr,2,FALSE),DefThrCountry),IFERROR(VLOOKUP($F136,CountryThr,2,FALSE),DefThrCountry)/$T136,1)))</f>
        <v/>
      </c>
      <c r="Y136" s="15">
        <f>IF($B136="","",IF($D136=CashLabel,1,IF($U136&gt;IFERROR(VLOOKUP($D136,LVTable,3,FALSE),DefThrAsset),IFERROR(VLOOKUP($D136,LVTable,3,FALSE),DefThrAsset)/$U136,1)))</f>
        <v/>
      </c>
      <c r="Z136" s="34">
        <f>IF($B136="","",IF($D136=CashLabel,1,MIN($V136:$Y136)))</f>
        <v/>
      </c>
      <c r="AA136" s="25">
        <f>IF($B136="","",$P136*$Z136)</f>
        <v/>
      </c>
      <c r="AB136" s="33">
        <f>IF($B136="","",$P136-$AA136)</f>
        <v/>
      </c>
      <c r="AC136" s="21" t="n"/>
      <c r="AD136" s="33">
        <f>IF($B136="","",$M136*(1+IF(ISNUMBER($AC136),$AC136,0)))</f>
        <v/>
      </c>
      <c r="AE136" s="33">
        <f>IF($B136="","",$AD136*$O136)</f>
        <v/>
      </c>
      <c r="AF136" s="14">
        <f>IF($B136="","",IF($D136=CashLabel,"",SUMIFS($AE$5:$AE$204,$B$5:$B$204,$B136,$D$5:$D$204,"&lt;&gt;"&amp;CashLabel)/ConcDenomStr))</f>
        <v/>
      </c>
      <c r="AG136" s="14">
        <f>IF($B136="","",IF($D136=CashLabel,"",SUMIFS($AE$5:$AE$204,$E$5:$E$204,$E136,$D$5:$D$204,"&lt;&gt;"&amp;CashLabel)/ConcDenomStr))</f>
        <v/>
      </c>
      <c r="AH136" s="14">
        <f>IF($B136="","",IF($D136=CashLabel,"",SUMIFS($AE$5:$AE$204,$F$5:$F$204,$F136,$D$5:$D$204,"&lt;&gt;"&amp;CashLabel)/ConcDenomStr))</f>
        <v/>
      </c>
      <c r="AI136" s="14">
        <f>IF($B136="","",IF($D136=CashLabel,"",SUMIFS($AE$5:$AE$204,$D$5:$D$204,$D136,$D$5:$D$204,"&lt;&gt;"&amp;CashLabel)/ConcDenomStr))</f>
        <v/>
      </c>
      <c r="AJ136" s="15">
        <f>IF($B136="","",IF($D136=CashLabel,1,MIN(IF($AF136&gt;ThrSingle,ThrSingle/$AF136,1),IF($AG136&gt;ThrIssuer,ThrIssuer/$AG136,1),IF($AH136&gt;IFERROR(VLOOKUP($F136,CountryThr,2,FALSE),DefThrCountry),IFERROR(VLOOKUP($F136,CountryThr,2,FALSE),DefThrCountry)/$AH136,1),IF($AI136&gt;IFERROR(VLOOKUP($D136,LVTable,3,FALSE),DefThrAsset),IFERROR(VLOOKUP($D136,LVTable,3,FALSE),DefThrAsset)/$AI136,1))))</f>
        <v/>
      </c>
      <c r="AK136" s="33">
        <f>IF($B136="","",$AE136*$AJ136)</f>
        <v/>
      </c>
    </row>
    <row r="137">
      <c r="A137" s="16">
        <f>IF($B137="","",ROW()-4)</f>
        <v/>
      </c>
      <c r="B137" s="20" t="n"/>
      <c r="C137" s="20" t="n"/>
      <c r="D137" s="20" t="n"/>
      <c r="E137" s="20" t="n"/>
      <c r="F137" s="20" t="n"/>
      <c r="G137" s="20" t="n"/>
      <c r="H137" s="30" t="n"/>
      <c r="I137" s="30" t="n"/>
      <c r="J137" s="30" t="n"/>
      <c r="K137" s="31">
        <f>IF($B137="","",IF(ISNUMBER($J137),$J137,$I137))</f>
        <v/>
      </c>
      <c r="L137" s="32">
        <f>IF($B137="","",IFERROR(VLOOKUP($G137,FXRates,4,FALSE),1))</f>
        <v/>
      </c>
      <c r="M137" s="33">
        <f>IF($B137="","",$H137*$K137*$L137)</f>
        <v/>
      </c>
      <c r="N137" s="21" t="n"/>
      <c r="O137" s="14">
        <f>IF($B137="","",IF($D137=CashLabel,IF(ISNUMBER($N137),$N137,1),MIN(IF(ISNUMBER($N137),$N137,IFERROR(VLOOKUP($D137,LVTable,2,FALSE),0)),LVCap)))</f>
        <v/>
      </c>
      <c r="P137" s="25">
        <f>IF($B137="","",$M137*$O137)</f>
        <v/>
      </c>
      <c r="Q137" s="16">
        <f>IF($B137="","",IFERROR(VLOOKUP($G137,FXRates,5,FALSE),$G137))</f>
        <v/>
      </c>
      <c r="R137" s="14">
        <f>IF($B137="","",IF($D137=CashLabel,"",SUMIFS($P$5:$P$204,$B$5:$B$204,$B137,$D$5:$D$204,"&lt;&gt;"&amp;CashLabel)/ConcDenom))</f>
        <v/>
      </c>
      <c r="S137" s="14">
        <f>IF($B137="","",IF($D137=CashLabel,"",SUMIFS($P$5:$P$204,$E$5:$E$204,$E137,$D$5:$D$204,"&lt;&gt;"&amp;CashLabel)/ConcDenom))</f>
        <v/>
      </c>
      <c r="T137" s="14">
        <f>IF($B137="","",IF($D137=CashLabel,"",SUMIFS($P$5:$P$204,$F$5:$F$204,$F137,$D$5:$D$204,"&lt;&gt;"&amp;CashLabel)/ConcDenom))</f>
        <v/>
      </c>
      <c r="U137" s="14">
        <f>IF($B137="","",IF($D137=CashLabel,"",SUMIFS($P$5:$P$204,$D$5:$D$204,$D137,$D$5:$D$204,"&lt;&gt;"&amp;CashLabel)/ConcDenom))</f>
        <v/>
      </c>
      <c r="V137" s="15">
        <f>IF($B137="","",IF($D137=CashLabel,1,IF($R137&gt;ThrSingle,ThrSingle/$R137,1)))</f>
        <v/>
      </c>
      <c r="W137" s="15">
        <f>IF($B137="","",IF($D137=CashLabel,1,IF($S137&gt;ThrIssuer,ThrIssuer/$S137,1)))</f>
        <v/>
      </c>
      <c r="X137" s="15">
        <f>IF($B137="","",IF($D137=CashLabel,1,IF($T137&gt;IFERROR(VLOOKUP($F137,CountryThr,2,FALSE),DefThrCountry),IFERROR(VLOOKUP($F137,CountryThr,2,FALSE),DefThrCountry)/$T137,1)))</f>
        <v/>
      </c>
      <c r="Y137" s="15">
        <f>IF($B137="","",IF($D137=CashLabel,1,IF($U137&gt;IFERROR(VLOOKUP($D137,LVTable,3,FALSE),DefThrAsset),IFERROR(VLOOKUP($D137,LVTable,3,FALSE),DefThrAsset)/$U137,1)))</f>
        <v/>
      </c>
      <c r="Z137" s="34">
        <f>IF($B137="","",IF($D137=CashLabel,1,MIN($V137:$Y137)))</f>
        <v/>
      </c>
      <c r="AA137" s="25">
        <f>IF($B137="","",$P137*$Z137)</f>
        <v/>
      </c>
      <c r="AB137" s="33">
        <f>IF($B137="","",$P137-$AA137)</f>
        <v/>
      </c>
      <c r="AC137" s="21" t="n"/>
      <c r="AD137" s="33">
        <f>IF($B137="","",$M137*(1+IF(ISNUMBER($AC137),$AC137,0)))</f>
        <v/>
      </c>
      <c r="AE137" s="33">
        <f>IF($B137="","",$AD137*$O137)</f>
        <v/>
      </c>
      <c r="AF137" s="14">
        <f>IF($B137="","",IF($D137=CashLabel,"",SUMIFS($AE$5:$AE$204,$B$5:$B$204,$B137,$D$5:$D$204,"&lt;&gt;"&amp;CashLabel)/ConcDenomStr))</f>
        <v/>
      </c>
      <c r="AG137" s="14">
        <f>IF($B137="","",IF($D137=CashLabel,"",SUMIFS($AE$5:$AE$204,$E$5:$E$204,$E137,$D$5:$D$204,"&lt;&gt;"&amp;CashLabel)/ConcDenomStr))</f>
        <v/>
      </c>
      <c r="AH137" s="14">
        <f>IF($B137="","",IF($D137=CashLabel,"",SUMIFS($AE$5:$AE$204,$F$5:$F$204,$F137,$D$5:$D$204,"&lt;&gt;"&amp;CashLabel)/ConcDenomStr))</f>
        <v/>
      </c>
      <c r="AI137" s="14">
        <f>IF($B137="","",IF($D137=CashLabel,"",SUMIFS($AE$5:$AE$204,$D$5:$D$204,$D137,$D$5:$D$204,"&lt;&gt;"&amp;CashLabel)/ConcDenomStr))</f>
        <v/>
      </c>
      <c r="AJ137" s="15">
        <f>IF($B137="","",IF($D137=CashLabel,1,MIN(IF($AF137&gt;ThrSingle,ThrSingle/$AF137,1),IF($AG137&gt;ThrIssuer,ThrIssuer/$AG137,1),IF($AH137&gt;IFERROR(VLOOKUP($F137,CountryThr,2,FALSE),DefThrCountry),IFERROR(VLOOKUP($F137,CountryThr,2,FALSE),DefThrCountry)/$AH137,1),IF($AI137&gt;IFERROR(VLOOKUP($D137,LVTable,3,FALSE),DefThrAsset),IFERROR(VLOOKUP($D137,LVTable,3,FALSE),DefThrAsset)/$AI137,1))))</f>
        <v/>
      </c>
      <c r="AK137" s="33">
        <f>IF($B137="","",$AE137*$AJ137)</f>
        <v/>
      </c>
    </row>
    <row r="138">
      <c r="A138" s="16">
        <f>IF($B138="","",ROW()-4)</f>
        <v/>
      </c>
      <c r="B138" s="20" t="n"/>
      <c r="C138" s="20" t="n"/>
      <c r="D138" s="20" t="n"/>
      <c r="E138" s="20" t="n"/>
      <c r="F138" s="20" t="n"/>
      <c r="G138" s="20" t="n"/>
      <c r="H138" s="30" t="n"/>
      <c r="I138" s="30" t="n"/>
      <c r="J138" s="30" t="n"/>
      <c r="K138" s="31">
        <f>IF($B138="","",IF(ISNUMBER($J138),$J138,$I138))</f>
        <v/>
      </c>
      <c r="L138" s="32">
        <f>IF($B138="","",IFERROR(VLOOKUP($G138,FXRates,4,FALSE),1))</f>
        <v/>
      </c>
      <c r="M138" s="33">
        <f>IF($B138="","",$H138*$K138*$L138)</f>
        <v/>
      </c>
      <c r="N138" s="21" t="n"/>
      <c r="O138" s="14">
        <f>IF($B138="","",IF($D138=CashLabel,IF(ISNUMBER($N138),$N138,1),MIN(IF(ISNUMBER($N138),$N138,IFERROR(VLOOKUP($D138,LVTable,2,FALSE),0)),LVCap)))</f>
        <v/>
      </c>
      <c r="P138" s="25">
        <f>IF($B138="","",$M138*$O138)</f>
        <v/>
      </c>
      <c r="Q138" s="16">
        <f>IF($B138="","",IFERROR(VLOOKUP($G138,FXRates,5,FALSE),$G138))</f>
        <v/>
      </c>
      <c r="R138" s="14">
        <f>IF($B138="","",IF($D138=CashLabel,"",SUMIFS($P$5:$P$204,$B$5:$B$204,$B138,$D$5:$D$204,"&lt;&gt;"&amp;CashLabel)/ConcDenom))</f>
        <v/>
      </c>
      <c r="S138" s="14">
        <f>IF($B138="","",IF($D138=CashLabel,"",SUMIFS($P$5:$P$204,$E$5:$E$204,$E138,$D$5:$D$204,"&lt;&gt;"&amp;CashLabel)/ConcDenom))</f>
        <v/>
      </c>
      <c r="T138" s="14">
        <f>IF($B138="","",IF($D138=CashLabel,"",SUMIFS($P$5:$P$204,$F$5:$F$204,$F138,$D$5:$D$204,"&lt;&gt;"&amp;CashLabel)/ConcDenom))</f>
        <v/>
      </c>
      <c r="U138" s="14">
        <f>IF($B138="","",IF($D138=CashLabel,"",SUMIFS($P$5:$P$204,$D$5:$D$204,$D138,$D$5:$D$204,"&lt;&gt;"&amp;CashLabel)/ConcDenom))</f>
        <v/>
      </c>
      <c r="V138" s="15">
        <f>IF($B138="","",IF($D138=CashLabel,1,IF($R138&gt;ThrSingle,ThrSingle/$R138,1)))</f>
        <v/>
      </c>
      <c r="W138" s="15">
        <f>IF($B138="","",IF($D138=CashLabel,1,IF($S138&gt;ThrIssuer,ThrIssuer/$S138,1)))</f>
        <v/>
      </c>
      <c r="X138" s="15">
        <f>IF($B138="","",IF($D138=CashLabel,1,IF($T138&gt;IFERROR(VLOOKUP($F138,CountryThr,2,FALSE),DefThrCountry),IFERROR(VLOOKUP($F138,CountryThr,2,FALSE),DefThrCountry)/$T138,1)))</f>
        <v/>
      </c>
      <c r="Y138" s="15">
        <f>IF($B138="","",IF($D138=CashLabel,1,IF($U138&gt;IFERROR(VLOOKUP($D138,LVTable,3,FALSE),DefThrAsset),IFERROR(VLOOKUP($D138,LVTable,3,FALSE),DefThrAsset)/$U138,1)))</f>
        <v/>
      </c>
      <c r="Z138" s="34">
        <f>IF($B138="","",IF($D138=CashLabel,1,MIN($V138:$Y138)))</f>
        <v/>
      </c>
      <c r="AA138" s="25">
        <f>IF($B138="","",$P138*$Z138)</f>
        <v/>
      </c>
      <c r="AB138" s="33">
        <f>IF($B138="","",$P138-$AA138)</f>
        <v/>
      </c>
      <c r="AC138" s="21" t="n"/>
      <c r="AD138" s="33">
        <f>IF($B138="","",$M138*(1+IF(ISNUMBER($AC138),$AC138,0)))</f>
        <v/>
      </c>
      <c r="AE138" s="33">
        <f>IF($B138="","",$AD138*$O138)</f>
        <v/>
      </c>
      <c r="AF138" s="14">
        <f>IF($B138="","",IF($D138=CashLabel,"",SUMIFS($AE$5:$AE$204,$B$5:$B$204,$B138,$D$5:$D$204,"&lt;&gt;"&amp;CashLabel)/ConcDenomStr))</f>
        <v/>
      </c>
      <c r="AG138" s="14">
        <f>IF($B138="","",IF($D138=CashLabel,"",SUMIFS($AE$5:$AE$204,$E$5:$E$204,$E138,$D$5:$D$204,"&lt;&gt;"&amp;CashLabel)/ConcDenomStr))</f>
        <v/>
      </c>
      <c r="AH138" s="14">
        <f>IF($B138="","",IF($D138=CashLabel,"",SUMIFS($AE$5:$AE$204,$F$5:$F$204,$F138,$D$5:$D$204,"&lt;&gt;"&amp;CashLabel)/ConcDenomStr))</f>
        <v/>
      </c>
      <c r="AI138" s="14">
        <f>IF($B138="","",IF($D138=CashLabel,"",SUMIFS($AE$5:$AE$204,$D$5:$D$204,$D138,$D$5:$D$204,"&lt;&gt;"&amp;CashLabel)/ConcDenomStr))</f>
        <v/>
      </c>
      <c r="AJ138" s="15">
        <f>IF($B138="","",IF($D138=CashLabel,1,MIN(IF($AF138&gt;ThrSingle,ThrSingle/$AF138,1),IF($AG138&gt;ThrIssuer,ThrIssuer/$AG138,1),IF($AH138&gt;IFERROR(VLOOKUP($F138,CountryThr,2,FALSE),DefThrCountry),IFERROR(VLOOKUP($F138,CountryThr,2,FALSE),DefThrCountry)/$AH138,1),IF($AI138&gt;IFERROR(VLOOKUP($D138,LVTable,3,FALSE),DefThrAsset),IFERROR(VLOOKUP($D138,LVTable,3,FALSE),DefThrAsset)/$AI138,1))))</f>
        <v/>
      </c>
      <c r="AK138" s="33">
        <f>IF($B138="","",$AE138*$AJ138)</f>
        <v/>
      </c>
    </row>
    <row r="139">
      <c r="A139" s="16">
        <f>IF($B139="","",ROW()-4)</f>
        <v/>
      </c>
      <c r="B139" s="20" t="n"/>
      <c r="C139" s="20" t="n"/>
      <c r="D139" s="20" t="n"/>
      <c r="E139" s="20" t="n"/>
      <c r="F139" s="20" t="n"/>
      <c r="G139" s="20" t="n"/>
      <c r="H139" s="30" t="n"/>
      <c r="I139" s="30" t="n"/>
      <c r="J139" s="30" t="n"/>
      <c r="K139" s="31">
        <f>IF($B139="","",IF(ISNUMBER($J139),$J139,$I139))</f>
        <v/>
      </c>
      <c r="L139" s="32">
        <f>IF($B139="","",IFERROR(VLOOKUP($G139,FXRates,4,FALSE),1))</f>
        <v/>
      </c>
      <c r="M139" s="33">
        <f>IF($B139="","",$H139*$K139*$L139)</f>
        <v/>
      </c>
      <c r="N139" s="21" t="n"/>
      <c r="O139" s="14">
        <f>IF($B139="","",IF($D139=CashLabel,IF(ISNUMBER($N139),$N139,1),MIN(IF(ISNUMBER($N139),$N139,IFERROR(VLOOKUP($D139,LVTable,2,FALSE),0)),LVCap)))</f>
        <v/>
      </c>
      <c r="P139" s="25">
        <f>IF($B139="","",$M139*$O139)</f>
        <v/>
      </c>
      <c r="Q139" s="16">
        <f>IF($B139="","",IFERROR(VLOOKUP($G139,FXRates,5,FALSE),$G139))</f>
        <v/>
      </c>
      <c r="R139" s="14">
        <f>IF($B139="","",IF($D139=CashLabel,"",SUMIFS($P$5:$P$204,$B$5:$B$204,$B139,$D$5:$D$204,"&lt;&gt;"&amp;CashLabel)/ConcDenom))</f>
        <v/>
      </c>
      <c r="S139" s="14">
        <f>IF($B139="","",IF($D139=CashLabel,"",SUMIFS($P$5:$P$204,$E$5:$E$204,$E139,$D$5:$D$204,"&lt;&gt;"&amp;CashLabel)/ConcDenom))</f>
        <v/>
      </c>
      <c r="T139" s="14">
        <f>IF($B139="","",IF($D139=CashLabel,"",SUMIFS($P$5:$P$204,$F$5:$F$204,$F139,$D$5:$D$204,"&lt;&gt;"&amp;CashLabel)/ConcDenom))</f>
        <v/>
      </c>
      <c r="U139" s="14">
        <f>IF($B139="","",IF($D139=CashLabel,"",SUMIFS($P$5:$P$204,$D$5:$D$204,$D139,$D$5:$D$204,"&lt;&gt;"&amp;CashLabel)/ConcDenom))</f>
        <v/>
      </c>
      <c r="V139" s="15">
        <f>IF($B139="","",IF($D139=CashLabel,1,IF($R139&gt;ThrSingle,ThrSingle/$R139,1)))</f>
        <v/>
      </c>
      <c r="W139" s="15">
        <f>IF($B139="","",IF($D139=CashLabel,1,IF($S139&gt;ThrIssuer,ThrIssuer/$S139,1)))</f>
        <v/>
      </c>
      <c r="X139" s="15">
        <f>IF($B139="","",IF($D139=CashLabel,1,IF($T139&gt;IFERROR(VLOOKUP($F139,CountryThr,2,FALSE),DefThrCountry),IFERROR(VLOOKUP($F139,CountryThr,2,FALSE),DefThrCountry)/$T139,1)))</f>
        <v/>
      </c>
      <c r="Y139" s="15">
        <f>IF($B139="","",IF($D139=CashLabel,1,IF($U139&gt;IFERROR(VLOOKUP($D139,LVTable,3,FALSE),DefThrAsset),IFERROR(VLOOKUP($D139,LVTable,3,FALSE),DefThrAsset)/$U139,1)))</f>
        <v/>
      </c>
      <c r="Z139" s="34">
        <f>IF($B139="","",IF($D139=CashLabel,1,MIN($V139:$Y139)))</f>
        <v/>
      </c>
      <c r="AA139" s="25">
        <f>IF($B139="","",$P139*$Z139)</f>
        <v/>
      </c>
      <c r="AB139" s="33">
        <f>IF($B139="","",$P139-$AA139)</f>
        <v/>
      </c>
      <c r="AC139" s="21" t="n"/>
      <c r="AD139" s="33">
        <f>IF($B139="","",$M139*(1+IF(ISNUMBER($AC139),$AC139,0)))</f>
        <v/>
      </c>
      <c r="AE139" s="33">
        <f>IF($B139="","",$AD139*$O139)</f>
        <v/>
      </c>
      <c r="AF139" s="14">
        <f>IF($B139="","",IF($D139=CashLabel,"",SUMIFS($AE$5:$AE$204,$B$5:$B$204,$B139,$D$5:$D$204,"&lt;&gt;"&amp;CashLabel)/ConcDenomStr))</f>
        <v/>
      </c>
      <c r="AG139" s="14">
        <f>IF($B139="","",IF($D139=CashLabel,"",SUMIFS($AE$5:$AE$204,$E$5:$E$204,$E139,$D$5:$D$204,"&lt;&gt;"&amp;CashLabel)/ConcDenomStr))</f>
        <v/>
      </c>
      <c r="AH139" s="14">
        <f>IF($B139="","",IF($D139=CashLabel,"",SUMIFS($AE$5:$AE$204,$F$5:$F$204,$F139,$D$5:$D$204,"&lt;&gt;"&amp;CashLabel)/ConcDenomStr))</f>
        <v/>
      </c>
      <c r="AI139" s="14">
        <f>IF($B139="","",IF($D139=CashLabel,"",SUMIFS($AE$5:$AE$204,$D$5:$D$204,$D139,$D$5:$D$204,"&lt;&gt;"&amp;CashLabel)/ConcDenomStr))</f>
        <v/>
      </c>
      <c r="AJ139" s="15">
        <f>IF($B139="","",IF($D139=CashLabel,1,MIN(IF($AF139&gt;ThrSingle,ThrSingle/$AF139,1),IF($AG139&gt;ThrIssuer,ThrIssuer/$AG139,1),IF($AH139&gt;IFERROR(VLOOKUP($F139,CountryThr,2,FALSE),DefThrCountry),IFERROR(VLOOKUP($F139,CountryThr,2,FALSE),DefThrCountry)/$AH139,1),IF($AI139&gt;IFERROR(VLOOKUP($D139,LVTable,3,FALSE),DefThrAsset),IFERROR(VLOOKUP($D139,LVTable,3,FALSE),DefThrAsset)/$AI139,1))))</f>
        <v/>
      </c>
      <c r="AK139" s="33">
        <f>IF($B139="","",$AE139*$AJ139)</f>
        <v/>
      </c>
    </row>
    <row r="140">
      <c r="A140" s="16">
        <f>IF($B140="","",ROW()-4)</f>
        <v/>
      </c>
      <c r="B140" s="20" t="n"/>
      <c r="C140" s="20" t="n"/>
      <c r="D140" s="20" t="n"/>
      <c r="E140" s="20" t="n"/>
      <c r="F140" s="20" t="n"/>
      <c r="G140" s="20" t="n"/>
      <c r="H140" s="30" t="n"/>
      <c r="I140" s="30" t="n"/>
      <c r="J140" s="30" t="n"/>
      <c r="K140" s="31">
        <f>IF($B140="","",IF(ISNUMBER($J140),$J140,$I140))</f>
        <v/>
      </c>
      <c r="L140" s="32">
        <f>IF($B140="","",IFERROR(VLOOKUP($G140,FXRates,4,FALSE),1))</f>
        <v/>
      </c>
      <c r="M140" s="33">
        <f>IF($B140="","",$H140*$K140*$L140)</f>
        <v/>
      </c>
      <c r="N140" s="21" t="n"/>
      <c r="O140" s="14">
        <f>IF($B140="","",IF($D140=CashLabel,IF(ISNUMBER($N140),$N140,1),MIN(IF(ISNUMBER($N140),$N140,IFERROR(VLOOKUP($D140,LVTable,2,FALSE),0)),LVCap)))</f>
        <v/>
      </c>
      <c r="P140" s="25">
        <f>IF($B140="","",$M140*$O140)</f>
        <v/>
      </c>
      <c r="Q140" s="16">
        <f>IF($B140="","",IFERROR(VLOOKUP($G140,FXRates,5,FALSE),$G140))</f>
        <v/>
      </c>
      <c r="R140" s="14">
        <f>IF($B140="","",IF($D140=CashLabel,"",SUMIFS($P$5:$P$204,$B$5:$B$204,$B140,$D$5:$D$204,"&lt;&gt;"&amp;CashLabel)/ConcDenom))</f>
        <v/>
      </c>
      <c r="S140" s="14">
        <f>IF($B140="","",IF($D140=CashLabel,"",SUMIFS($P$5:$P$204,$E$5:$E$204,$E140,$D$5:$D$204,"&lt;&gt;"&amp;CashLabel)/ConcDenom))</f>
        <v/>
      </c>
      <c r="T140" s="14">
        <f>IF($B140="","",IF($D140=CashLabel,"",SUMIFS($P$5:$P$204,$F$5:$F$204,$F140,$D$5:$D$204,"&lt;&gt;"&amp;CashLabel)/ConcDenom))</f>
        <v/>
      </c>
      <c r="U140" s="14">
        <f>IF($B140="","",IF($D140=CashLabel,"",SUMIFS($P$5:$P$204,$D$5:$D$204,$D140,$D$5:$D$204,"&lt;&gt;"&amp;CashLabel)/ConcDenom))</f>
        <v/>
      </c>
      <c r="V140" s="15">
        <f>IF($B140="","",IF($D140=CashLabel,1,IF($R140&gt;ThrSingle,ThrSingle/$R140,1)))</f>
        <v/>
      </c>
      <c r="W140" s="15">
        <f>IF($B140="","",IF($D140=CashLabel,1,IF($S140&gt;ThrIssuer,ThrIssuer/$S140,1)))</f>
        <v/>
      </c>
      <c r="X140" s="15">
        <f>IF($B140="","",IF($D140=CashLabel,1,IF($T140&gt;IFERROR(VLOOKUP($F140,CountryThr,2,FALSE),DefThrCountry),IFERROR(VLOOKUP($F140,CountryThr,2,FALSE),DefThrCountry)/$T140,1)))</f>
        <v/>
      </c>
      <c r="Y140" s="15">
        <f>IF($B140="","",IF($D140=CashLabel,1,IF($U140&gt;IFERROR(VLOOKUP($D140,LVTable,3,FALSE),DefThrAsset),IFERROR(VLOOKUP($D140,LVTable,3,FALSE),DefThrAsset)/$U140,1)))</f>
        <v/>
      </c>
      <c r="Z140" s="34">
        <f>IF($B140="","",IF($D140=CashLabel,1,MIN($V140:$Y140)))</f>
        <v/>
      </c>
      <c r="AA140" s="25">
        <f>IF($B140="","",$P140*$Z140)</f>
        <v/>
      </c>
      <c r="AB140" s="33">
        <f>IF($B140="","",$P140-$AA140)</f>
        <v/>
      </c>
      <c r="AC140" s="21" t="n"/>
      <c r="AD140" s="33">
        <f>IF($B140="","",$M140*(1+IF(ISNUMBER($AC140),$AC140,0)))</f>
        <v/>
      </c>
      <c r="AE140" s="33">
        <f>IF($B140="","",$AD140*$O140)</f>
        <v/>
      </c>
      <c r="AF140" s="14">
        <f>IF($B140="","",IF($D140=CashLabel,"",SUMIFS($AE$5:$AE$204,$B$5:$B$204,$B140,$D$5:$D$204,"&lt;&gt;"&amp;CashLabel)/ConcDenomStr))</f>
        <v/>
      </c>
      <c r="AG140" s="14">
        <f>IF($B140="","",IF($D140=CashLabel,"",SUMIFS($AE$5:$AE$204,$E$5:$E$204,$E140,$D$5:$D$204,"&lt;&gt;"&amp;CashLabel)/ConcDenomStr))</f>
        <v/>
      </c>
      <c r="AH140" s="14">
        <f>IF($B140="","",IF($D140=CashLabel,"",SUMIFS($AE$5:$AE$204,$F$5:$F$204,$F140,$D$5:$D$204,"&lt;&gt;"&amp;CashLabel)/ConcDenomStr))</f>
        <v/>
      </c>
      <c r="AI140" s="14">
        <f>IF($B140="","",IF($D140=CashLabel,"",SUMIFS($AE$5:$AE$204,$D$5:$D$204,$D140,$D$5:$D$204,"&lt;&gt;"&amp;CashLabel)/ConcDenomStr))</f>
        <v/>
      </c>
      <c r="AJ140" s="15">
        <f>IF($B140="","",IF($D140=CashLabel,1,MIN(IF($AF140&gt;ThrSingle,ThrSingle/$AF140,1),IF($AG140&gt;ThrIssuer,ThrIssuer/$AG140,1),IF($AH140&gt;IFERROR(VLOOKUP($F140,CountryThr,2,FALSE),DefThrCountry),IFERROR(VLOOKUP($F140,CountryThr,2,FALSE),DefThrCountry)/$AH140,1),IF($AI140&gt;IFERROR(VLOOKUP($D140,LVTable,3,FALSE),DefThrAsset),IFERROR(VLOOKUP($D140,LVTable,3,FALSE),DefThrAsset)/$AI140,1))))</f>
        <v/>
      </c>
      <c r="AK140" s="33">
        <f>IF($B140="","",$AE140*$AJ140)</f>
        <v/>
      </c>
    </row>
    <row r="141">
      <c r="A141" s="16">
        <f>IF($B141="","",ROW()-4)</f>
        <v/>
      </c>
      <c r="B141" s="20" t="n"/>
      <c r="C141" s="20" t="n"/>
      <c r="D141" s="20" t="n"/>
      <c r="E141" s="20" t="n"/>
      <c r="F141" s="20" t="n"/>
      <c r="G141" s="20" t="n"/>
      <c r="H141" s="30" t="n"/>
      <c r="I141" s="30" t="n"/>
      <c r="J141" s="30" t="n"/>
      <c r="K141" s="31">
        <f>IF($B141="","",IF(ISNUMBER($J141),$J141,$I141))</f>
        <v/>
      </c>
      <c r="L141" s="32">
        <f>IF($B141="","",IFERROR(VLOOKUP($G141,FXRates,4,FALSE),1))</f>
        <v/>
      </c>
      <c r="M141" s="33">
        <f>IF($B141="","",$H141*$K141*$L141)</f>
        <v/>
      </c>
      <c r="N141" s="21" t="n"/>
      <c r="O141" s="14">
        <f>IF($B141="","",IF($D141=CashLabel,IF(ISNUMBER($N141),$N141,1),MIN(IF(ISNUMBER($N141),$N141,IFERROR(VLOOKUP($D141,LVTable,2,FALSE),0)),LVCap)))</f>
        <v/>
      </c>
      <c r="P141" s="25">
        <f>IF($B141="","",$M141*$O141)</f>
        <v/>
      </c>
      <c r="Q141" s="16">
        <f>IF($B141="","",IFERROR(VLOOKUP($G141,FXRates,5,FALSE),$G141))</f>
        <v/>
      </c>
      <c r="R141" s="14">
        <f>IF($B141="","",IF($D141=CashLabel,"",SUMIFS($P$5:$P$204,$B$5:$B$204,$B141,$D$5:$D$204,"&lt;&gt;"&amp;CashLabel)/ConcDenom))</f>
        <v/>
      </c>
      <c r="S141" s="14">
        <f>IF($B141="","",IF($D141=CashLabel,"",SUMIFS($P$5:$P$204,$E$5:$E$204,$E141,$D$5:$D$204,"&lt;&gt;"&amp;CashLabel)/ConcDenom))</f>
        <v/>
      </c>
      <c r="T141" s="14">
        <f>IF($B141="","",IF($D141=CashLabel,"",SUMIFS($P$5:$P$204,$F$5:$F$204,$F141,$D$5:$D$204,"&lt;&gt;"&amp;CashLabel)/ConcDenom))</f>
        <v/>
      </c>
      <c r="U141" s="14">
        <f>IF($B141="","",IF($D141=CashLabel,"",SUMIFS($P$5:$P$204,$D$5:$D$204,$D141,$D$5:$D$204,"&lt;&gt;"&amp;CashLabel)/ConcDenom))</f>
        <v/>
      </c>
      <c r="V141" s="15">
        <f>IF($B141="","",IF($D141=CashLabel,1,IF($R141&gt;ThrSingle,ThrSingle/$R141,1)))</f>
        <v/>
      </c>
      <c r="W141" s="15">
        <f>IF($B141="","",IF($D141=CashLabel,1,IF($S141&gt;ThrIssuer,ThrIssuer/$S141,1)))</f>
        <v/>
      </c>
      <c r="X141" s="15">
        <f>IF($B141="","",IF($D141=CashLabel,1,IF($T141&gt;IFERROR(VLOOKUP($F141,CountryThr,2,FALSE),DefThrCountry),IFERROR(VLOOKUP($F141,CountryThr,2,FALSE),DefThrCountry)/$T141,1)))</f>
        <v/>
      </c>
      <c r="Y141" s="15">
        <f>IF($B141="","",IF($D141=CashLabel,1,IF($U141&gt;IFERROR(VLOOKUP($D141,LVTable,3,FALSE),DefThrAsset),IFERROR(VLOOKUP($D141,LVTable,3,FALSE),DefThrAsset)/$U141,1)))</f>
        <v/>
      </c>
      <c r="Z141" s="34">
        <f>IF($B141="","",IF($D141=CashLabel,1,MIN($V141:$Y141)))</f>
        <v/>
      </c>
      <c r="AA141" s="25">
        <f>IF($B141="","",$P141*$Z141)</f>
        <v/>
      </c>
      <c r="AB141" s="33">
        <f>IF($B141="","",$P141-$AA141)</f>
        <v/>
      </c>
      <c r="AC141" s="21" t="n"/>
      <c r="AD141" s="33">
        <f>IF($B141="","",$M141*(1+IF(ISNUMBER($AC141),$AC141,0)))</f>
        <v/>
      </c>
      <c r="AE141" s="33">
        <f>IF($B141="","",$AD141*$O141)</f>
        <v/>
      </c>
      <c r="AF141" s="14">
        <f>IF($B141="","",IF($D141=CashLabel,"",SUMIFS($AE$5:$AE$204,$B$5:$B$204,$B141,$D$5:$D$204,"&lt;&gt;"&amp;CashLabel)/ConcDenomStr))</f>
        <v/>
      </c>
      <c r="AG141" s="14">
        <f>IF($B141="","",IF($D141=CashLabel,"",SUMIFS($AE$5:$AE$204,$E$5:$E$204,$E141,$D$5:$D$204,"&lt;&gt;"&amp;CashLabel)/ConcDenomStr))</f>
        <v/>
      </c>
      <c r="AH141" s="14">
        <f>IF($B141="","",IF($D141=CashLabel,"",SUMIFS($AE$5:$AE$204,$F$5:$F$204,$F141,$D$5:$D$204,"&lt;&gt;"&amp;CashLabel)/ConcDenomStr))</f>
        <v/>
      </c>
      <c r="AI141" s="14">
        <f>IF($B141="","",IF($D141=CashLabel,"",SUMIFS($AE$5:$AE$204,$D$5:$D$204,$D141,$D$5:$D$204,"&lt;&gt;"&amp;CashLabel)/ConcDenomStr))</f>
        <v/>
      </c>
      <c r="AJ141" s="15">
        <f>IF($B141="","",IF($D141=CashLabel,1,MIN(IF($AF141&gt;ThrSingle,ThrSingle/$AF141,1),IF($AG141&gt;ThrIssuer,ThrIssuer/$AG141,1),IF($AH141&gt;IFERROR(VLOOKUP($F141,CountryThr,2,FALSE),DefThrCountry),IFERROR(VLOOKUP($F141,CountryThr,2,FALSE),DefThrCountry)/$AH141,1),IF($AI141&gt;IFERROR(VLOOKUP($D141,LVTable,3,FALSE),DefThrAsset),IFERROR(VLOOKUP($D141,LVTable,3,FALSE),DefThrAsset)/$AI141,1))))</f>
        <v/>
      </c>
      <c r="AK141" s="33">
        <f>IF($B141="","",$AE141*$AJ141)</f>
        <v/>
      </c>
    </row>
    <row r="142">
      <c r="A142" s="16">
        <f>IF($B142="","",ROW()-4)</f>
        <v/>
      </c>
      <c r="B142" s="20" t="n"/>
      <c r="C142" s="20" t="n"/>
      <c r="D142" s="20" t="n"/>
      <c r="E142" s="20" t="n"/>
      <c r="F142" s="20" t="n"/>
      <c r="G142" s="20" t="n"/>
      <c r="H142" s="30" t="n"/>
      <c r="I142" s="30" t="n"/>
      <c r="J142" s="30" t="n"/>
      <c r="K142" s="31">
        <f>IF($B142="","",IF(ISNUMBER($J142),$J142,$I142))</f>
        <v/>
      </c>
      <c r="L142" s="32">
        <f>IF($B142="","",IFERROR(VLOOKUP($G142,FXRates,4,FALSE),1))</f>
        <v/>
      </c>
      <c r="M142" s="33">
        <f>IF($B142="","",$H142*$K142*$L142)</f>
        <v/>
      </c>
      <c r="N142" s="21" t="n"/>
      <c r="O142" s="14">
        <f>IF($B142="","",IF($D142=CashLabel,IF(ISNUMBER($N142),$N142,1),MIN(IF(ISNUMBER($N142),$N142,IFERROR(VLOOKUP($D142,LVTable,2,FALSE),0)),LVCap)))</f>
        <v/>
      </c>
      <c r="P142" s="25">
        <f>IF($B142="","",$M142*$O142)</f>
        <v/>
      </c>
      <c r="Q142" s="16">
        <f>IF($B142="","",IFERROR(VLOOKUP($G142,FXRates,5,FALSE),$G142))</f>
        <v/>
      </c>
      <c r="R142" s="14">
        <f>IF($B142="","",IF($D142=CashLabel,"",SUMIFS($P$5:$P$204,$B$5:$B$204,$B142,$D$5:$D$204,"&lt;&gt;"&amp;CashLabel)/ConcDenom))</f>
        <v/>
      </c>
      <c r="S142" s="14">
        <f>IF($B142="","",IF($D142=CashLabel,"",SUMIFS($P$5:$P$204,$E$5:$E$204,$E142,$D$5:$D$204,"&lt;&gt;"&amp;CashLabel)/ConcDenom))</f>
        <v/>
      </c>
      <c r="T142" s="14">
        <f>IF($B142="","",IF($D142=CashLabel,"",SUMIFS($P$5:$P$204,$F$5:$F$204,$F142,$D$5:$D$204,"&lt;&gt;"&amp;CashLabel)/ConcDenom))</f>
        <v/>
      </c>
      <c r="U142" s="14">
        <f>IF($B142="","",IF($D142=CashLabel,"",SUMIFS($P$5:$P$204,$D$5:$D$204,$D142,$D$5:$D$204,"&lt;&gt;"&amp;CashLabel)/ConcDenom))</f>
        <v/>
      </c>
      <c r="V142" s="15">
        <f>IF($B142="","",IF($D142=CashLabel,1,IF($R142&gt;ThrSingle,ThrSingle/$R142,1)))</f>
        <v/>
      </c>
      <c r="W142" s="15">
        <f>IF($B142="","",IF($D142=CashLabel,1,IF($S142&gt;ThrIssuer,ThrIssuer/$S142,1)))</f>
        <v/>
      </c>
      <c r="X142" s="15">
        <f>IF($B142="","",IF($D142=CashLabel,1,IF($T142&gt;IFERROR(VLOOKUP($F142,CountryThr,2,FALSE),DefThrCountry),IFERROR(VLOOKUP($F142,CountryThr,2,FALSE),DefThrCountry)/$T142,1)))</f>
        <v/>
      </c>
      <c r="Y142" s="15">
        <f>IF($B142="","",IF($D142=CashLabel,1,IF($U142&gt;IFERROR(VLOOKUP($D142,LVTable,3,FALSE),DefThrAsset),IFERROR(VLOOKUP($D142,LVTable,3,FALSE),DefThrAsset)/$U142,1)))</f>
        <v/>
      </c>
      <c r="Z142" s="34">
        <f>IF($B142="","",IF($D142=CashLabel,1,MIN($V142:$Y142)))</f>
        <v/>
      </c>
      <c r="AA142" s="25">
        <f>IF($B142="","",$P142*$Z142)</f>
        <v/>
      </c>
      <c r="AB142" s="33">
        <f>IF($B142="","",$P142-$AA142)</f>
        <v/>
      </c>
      <c r="AC142" s="21" t="n"/>
      <c r="AD142" s="33">
        <f>IF($B142="","",$M142*(1+IF(ISNUMBER($AC142),$AC142,0)))</f>
        <v/>
      </c>
      <c r="AE142" s="33">
        <f>IF($B142="","",$AD142*$O142)</f>
        <v/>
      </c>
      <c r="AF142" s="14">
        <f>IF($B142="","",IF($D142=CashLabel,"",SUMIFS($AE$5:$AE$204,$B$5:$B$204,$B142,$D$5:$D$204,"&lt;&gt;"&amp;CashLabel)/ConcDenomStr))</f>
        <v/>
      </c>
      <c r="AG142" s="14">
        <f>IF($B142="","",IF($D142=CashLabel,"",SUMIFS($AE$5:$AE$204,$E$5:$E$204,$E142,$D$5:$D$204,"&lt;&gt;"&amp;CashLabel)/ConcDenomStr))</f>
        <v/>
      </c>
      <c r="AH142" s="14">
        <f>IF($B142="","",IF($D142=CashLabel,"",SUMIFS($AE$5:$AE$204,$F$5:$F$204,$F142,$D$5:$D$204,"&lt;&gt;"&amp;CashLabel)/ConcDenomStr))</f>
        <v/>
      </c>
      <c r="AI142" s="14">
        <f>IF($B142="","",IF($D142=CashLabel,"",SUMIFS($AE$5:$AE$204,$D$5:$D$204,$D142,$D$5:$D$204,"&lt;&gt;"&amp;CashLabel)/ConcDenomStr))</f>
        <v/>
      </c>
      <c r="AJ142" s="15">
        <f>IF($B142="","",IF($D142=CashLabel,1,MIN(IF($AF142&gt;ThrSingle,ThrSingle/$AF142,1),IF($AG142&gt;ThrIssuer,ThrIssuer/$AG142,1),IF($AH142&gt;IFERROR(VLOOKUP($F142,CountryThr,2,FALSE),DefThrCountry),IFERROR(VLOOKUP($F142,CountryThr,2,FALSE),DefThrCountry)/$AH142,1),IF($AI142&gt;IFERROR(VLOOKUP($D142,LVTable,3,FALSE),DefThrAsset),IFERROR(VLOOKUP($D142,LVTable,3,FALSE),DefThrAsset)/$AI142,1))))</f>
        <v/>
      </c>
      <c r="AK142" s="33">
        <f>IF($B142="","",$AE142*$AJ142)</f>
        <v/>
      </c>
    </row>
    <row r="143">
      <c r="A143" s="16">
        <f>IF($B143="","",ROW()-4)</f>
        <v/>
      </c>
      <c r="B143" s="20" t="n"/>
      <c r="C143" s="20" t="n"/>
      <c r="D143" s="20" t="n"/>
      <c r="E143" s="20" t="n"/>
      <c r="F143" s="20" t="n"/>
      <c r="G143" s="20" t="n"/>
      <c r="H143" s="30" t="n"/>
      <c r="I143" s="30" t="n"/>
      <c r="J143" s="30" t="n"/>
      <c r="K143" s="31">
        <f>IF($B143="","",IF(ISNUMBER($J143),$J143,$I143))</f>
        <v/>
      </c>
      <c r="L143" s="32">
        <f>IF($B143="","",IFERROR(VLOOKUP($G143,FXRates,4,FALSE),1))</f>
        <v/>
      </c>
      <c r="M143" s="33">
        <f>IF($B143="","",$H143*$K143*$L143)</f>
        <v/>
      </c>
      <c r="N143" s="21" t="n"/>
      <c r="O143" s="14">
        <f>IF($B143="","",IF($D143=CashLabel,IF(ISNUMBER($N143),$N143,1),MIN(IF(ISNUMBER($N143),$N143,IFERROR(VLOOKUP($D143,LVTable,2,FALSE),0)),LVCap)))</f>
        <v/>
      </c>
      <c r="P143" s="25">
        <f>IF($B143="","",$M143*$O143)</f>
        <v/>
      </c>
      <c r="Q143" s="16">
        <f>IF($B143="","",IFERROR(VLOOKUP($G143,FXRates,5,FALSE),$G143))</f>
        <v/>
      </c>
      <c r="R143" s="14">
        <f>IF($B143="","",IF($D143=CashLabel,"",SUMIFS($P$5:$P$204,$B$5:$B$204,$B143,$D$5:$D$204,"&lt;&gt;"&amp;CashLabel)/ConcDenom))</f>
        <v/>
      </c>
      <c r="S143" s="14">
        <f>IF($B143="","",IF($D143=CashLabel,"",SUMIFS($P$5:$P$204,$E$5:$E$204,$E143,$D$5:$D$204,"&lt;&gt;"&amp;CashLabel)/ConcDenom))</f>
        <v/>
      </c>
      <c r="T143" s="14">
        <f>IF($B143="","",IF($D143=CashLabel,"",SUMIFS($P$5:$P$204,$F$5:$F$204,$F143,$D$5:$D$204,"&lt;&gt;"&amp;CashLabel)/ConcDenom))</f>
        <v/>
      </c>
      <c r="U143" s="14">
        <f>IF($B143="","",IF($D143=CashLabel,"",SUMIFS($P$5:$P$204,$D$5:$D$204,$D143,$D$5:$D$204,"&lt;&gt;"&amp;CashLabel)/ConcDenom))</f>
        <v/>
      </c>
      <c r="V143" s="15">
        <f>IF($B143="","",IF($D143=CashLabel,1,IF($R143&gt;ThrSingle,ThrSingle/$R143,1)))</f>
        <v/>
      </c>
      <c r="W143" s="15">
        <f>IF($B143="","",IF($D143=CashLabel,1,IF($S143&gt;ThrIssuer,ThrIssuer/$S143,1)))</f>
        <v/>
      </c>
      <c r="X143" s="15">
        <f>IF($B143="","",IF($D143=CashLabel,1,IF($T143&gt;IFERROR(VLOOKUP($F143,CountryThr,2,FALSE),DefThrCountry),IFERROR(VLOOKUP($F143,CountryThr,2,FALSE),DefThrCountry)/$T143,1)))</f>
        <v/>
      </c>
      <c r="Y143" s="15">
        <f>IF($B143="","",IF($D143=CashLabel,1,IF($U143&gt;IFERROR(VLOOKUP($D143,LVTable,3,FALSE),DefThrAsset),IFERROR(VLOOKUP($D143,LVTable,3,FALSE),DefThrAsset)/$U143,1)))</f>
        <v/>
      </c>
      <c r="Z143" s="34">
        <f>IF($B143="","",IF($D143=CashLabel,1,MIN($V143:$Y143)))</f>
        <v/>
      </c>
      <c r="AA143" s="25">
        <f>IF($B143="","",$P143*$Z143)</f>
        <v/>
      </c>
      <c r="AB143" s="33">
        <f>IF($B143="","",$P143-$AA143)</f>
        <v/>
      </c>
      <c r="AC143" s="21" t="n"/>
      <c r="AD143" s="33">
        <f>IF($B143="","",$M143*(1+IF(ISNUMBER($AC143),$AC143,0)))</f>
        <v/>
      </c>
      <c r="AE143" s="33">
        <f>IF($B143="","",$AD143*$O143)</f>
        <v/>
      </c>
      <c r="AF143" s="14">
        <f>IF($B143="","",IF($D143=CashLabel,"",SUMIFS($AE$5:$AE$204,$B$5:$B$204,$B143,$D$5:$D$204,"&lt;&gt;"&amp;CashLabel)/ConcDenomStr))</f>
        <v/>
      </c>
      <c r="AG143" s="14">
        <f>IF($B143="","",IF($D143=CashLabel,"",SUMIFS($AE$5:$AE$204,$E$5:$E$204,$E143,$D$5:$D$204,"&lt;&gt;"&amp;CashLabel)/ConcDenomStr))</f>
        <v/>
      </c>
      <c r="AH143" s="14">
        <f>IF($B143="","",IF($D143=CashLabel,"",SUMIFS($AE$5:$AE$204,$F$5:$F$204,$F143,$D$5:$D$204,"&lt;&gt;"&amp;CashLabel)/ConcDenomStr))</f>
        <v/>
      </c>
      <c r="AI143" s="14">
        <f>IF($B143="","",IF($D143=CashLabel,"",SUMIFS($AE$5:$AE$204,$D$5:$D$204,$D143,$D$5:$D$204,"&lt;&gt;"&amp;CashLabel)/ConcDenomStr))</f>
        <v/>
      </c>
      <c r="AJ143" s="15">
        <f>IF($B143="","",IF($D143=CashLabel,1,MIN(IF($AF143&gt;ThrSingle,ThrSingle/$AF143,1),IF($AG143&gt;ThrIssuer,ThrIssuer/$AG143,1),IF($AH143&gt;IFERROR(VLOOKUP($F143,CountryThr,2,FALSE),DefThrCountry),IFERROR(VLOOKUP($F143,CountryThr,2,FALSE),DefThrCountry)/$AH143,1),IF($AI143&gt;IFERROR(VLOOKUP($D143,LVTable,3,FALSE),DefThrAsset),IFERROR(VLOOKUP($D143,LVTable,3,FALSE),DefThrAsset)/$AI143,1))))</f>
        <v/>
      </c>
      <c r="AK143" s="33">
        <f>IF($B143="","",$AE143*$AJ143)</f>
        <v/>
      </c>
    </row>
    <row r="144">
      <c r="A144" s="16">
        <f>IF($B144="","",ROW()-4)</f>
        <v/>
      </c>
      <c r="B144" s="20" t="n"/>
      <c r="C144" s="20" t="n"/>
      <c r="D144" s="20" t="n"/>
      <c r="E144" s="20" t="n"/>
      <c r="F144" s="20" t="n"/>
      <c r="G144" s="20" t="n"/>
      <c r="H144" s="30" t="n"/>
      <c r="I144" s="30" t="n"/>
      <c r="J144" s="30" t="n"/>
      <c r="K144" s="31">
        <f>IF($B144="","",IF(ISNUMBER($J144),$J144,$I144))</f>
        <v/>
      </c>
      <c r="L144" s="32">
        <f>IF($B144="","",IFERROR(VLOOKUP($G144,FXRates,4,FALSE),1))</f>
        <v/>
      </c>
      <c r="M144" s="33">
        <f>IF($B144="","",$H144*$K144*$L144)</f>
        <v/>
      </c>
      <c r="N144" s="21" t="n"/>
      <c r="O144" s="14">
        <f>IF($B144="","",IF($D144=CashLabel,IF(ISNUMBER($N144),$N144,1),MIN(IF(ISNUMBER($N144),$N144,IFERROR(VLOOKUP($D144,LVTable,2,FALSE),0)),LVCap)))</f>
        <v/>
      </c>
      <c r="P144" s="25">
        <f>IF($B144="","",$M144*$O144)</f>
        <v/>
      </c>
      <c r="Q144" s="16">
        <f>IF($B144="","",IFERROR(VLOOKUP($G144,FXRates,5,FALSE),$G144))</f>
        <v/>
      </c>
      <c r="R144" s="14">
        <f>IF($B144="","",IF($D144=CashLabel,"",SUMIFS($P$5:$P$204,$B$5:$B$204,$B144,$D$5:$D$204,"&lt;&gt;"&amp;CashLabel)/ConcDenom))</f>
        <v/>
      </c>
      <c r="S144" s="14">
        <f>IF($B144="","",IF($D144=CashLabel,"",SUMIFS($P$5:$P$204,$E$5:$E$204,$E144,$D$5:$D$204,"&lt;&gt;"&amp;CashLabel)/ConcDenom))</f>
        <v/>
      </c>
      <c r="T144" s="14">
        <f>IF($B144="","",IF($D144=CashLabel,"",SUMIFS($P$5:$P$204,$F$5:$F$204,$F144,$D$5:$D$204,"&lt;&gt;"&amp;CashLabel)/ConcDenom))</f>
        <v/>
      </c>
      <c r="U144" s="14">
        <f>IF($B144="","",IF($D144=CashLabel,"",SUMIFS($P$5:$P$204,$D$5:$D$204,$D144,$D$5:$D$204,"&lt;&gt;"&amp;CashLabel)/ConcDenom))</f>
        <v/>
      </c>
      <c r="V144" s="15">
        <f>IF($B144="","",IF($D144=CashLabel,1,IF($R144&gt;ThrSingle,ThrSingle/$R144,1)))</f>
        <v/>
      </c>
      <c r="W144" s="15">
        <f>IF($B144="","",IF($D144=CashLabel,1,IF($S144&gt;ThrIssuer,ThrIssuer/$S144,1)))</f>
        <v/>
      </c>
      <c r="X144" s="15">
        <f>IF($B144="","",IF($D144=CashLabel,1,IF($T144&gt;IFERROR(VLOOKUP($F144,CountryThr,2,FALSE),DefThrCountry),IFERROR(VLOOKUP($F144,CountryThr,2,FALSE),DefThrCountry)/$T144,1)))</f>
        <v/>
      </c>
      <c r="Y144" s="15">
        <f>IF($B144="","",IF($D144=CashLabel,1,IF($U144&gt;IFERROR(VLOOKUP($D144,LVTable,3,FALSE),DefThrAsset),IFERROR(VLOOKUP($D144,LVTable,3,FALSE),DefThrAsset)/$U144,1)))</f>
        <v/>
      </c>
      <c r="Z144" s="34">
        <f>IF($B144="","",IF($D144=CashLabel,1,MIN($V144:$Y144)))</f>
        <v/>
      </c>
      <c r="AA144" s="25">
        <f>IF($B144="","",$P144*$Z144)</f>
        <v/>
      </c>
      <c r="AB144" s="33">
        <f>IF($B144="","",$P144-$AA144)</f>
        <v/>
      </c>
      <c r="AC144" s="21" t="n"/>
      <c r="AD144" s="33">
        <f>IF($B144="","",$M144*(1+IF(ISNUMBER($AC144),$AC144,0)))</f>
        <v/>
      </c>
      <c r="AE144" s="33">
        <f>IF($B144="","",$AD144*$O144)</f>
        <v/>
      </c>
      <c r="AF144" s="14">
        <f>IF($B144="","",IF($D144=CashLabel,"",SUMIFS($AE$5:$AE$204,$B$5:$B$204,$B144,$D$5:$D$204,"&lt;&gt;"&amp;CashLabel)/ConcDenomStr))</f>
        <v/>
      </c>
      <c r="AG144" s="14">
        <f>IF($B144="","",IF($D144=CashLabel,"",SUMIFS($AE$5:$AE$204,$E$5:$E$204,$E144,$D$5:$D$204,"&lt;&gt;"&amp;CashLabel)/ConcDenomStr))</f>
        <v/>
      </c>
      <c r="AH144" s="14">
        <f>IF($B144="","",IF($D144=CashLabel,"",SUMIFS($AE$5:$AE$204,$F$5:$F$204,$F144,$D$5:$D$204,"&lt;&gt;"&amp;CashLabel)/ConcDenomStr))</f>
        <v/>
      </c>
      <c r="AI144" s="14">
        <f>IF($B144="","",IF($D144=CashLabel,"",SUMIFS($AE$5:$AE$204,$D$5:$D$204,$D144,$D$5:$D$204,"&lt;&gt;"&amp;CashLabel)/ConcDenomStr))</f>
        <v/>
      </c>
      <c r="AJ144" s="15">
        <f>IF($B144="","",IF($D144=CashLabel,1,MIN(IF($AF144&gt;ThrSingle,ThrSingle/$AF144,1),IF($AG144&gt;ThrIssuer,ThrIssuer/$AG144,1),IF($AH144&gt;IFERROR(VLOOKUP($F144,CountryThr,2,FALSE),DefThrCountry),IFERROR(VLOOKUP($F144,CountryThr,2,FALSE),DefThrCountry)/$AH144,1),IF($AI144&gt;IFERROR(VLOOKUP($D144,LVTable,3,FALSE),DefThrAsset),IFERROR(VLOOKUP($D144,LVTable,3,FALSE),DefThrAsset)/$AI144,1))))</f>
        <v/>
      </c>
      <c r="AK144" s="33">
        <f>IF($B144="","",$AE144*$AJ144)</f>
        <v/>
      </c>
    </row>
    <row r="145">
      <c r="A145" s="16">
        <f>IF($B145="","",ROW()-4)</f>
        <v/>
      </c>
      <c r="B145" s="20" t="n"/>
      <c r="C145" s="20" t="n"/>
      <c r="D145" s="20" t="n"/>
      <c r="E145" s="20" t="n"/>
      <c r="F145" s="20" t="n"/>
      <c r="G145" s="20" t="n"/>
      <c r="H145" s="30" t="n"/>
      <c r="I145" s="30" t="n"/>
      <c r="J145" s="30" t="n"/>
      <c r="K145" s="31">
        <f>IF($B145="","",IF(ISNUMBER($J145),$J145,$I145))</f>
        <v/>
      </c>
      <c r="L145" s="32">
        <f>IF($B145="","",IFERROR(VLOOKUP($G145,FXRates,4,FALSE),1))</f>
        <v/>
      </c>
      <c r="M145" s="33">
        <f>IF($B145="","",$H145*$K145*$L145)</f>
        <v/>
      </c>
      <c r="N145" s="21" t="n"/>
      <c r="O145" s="14">
        <f>IF($B145="","",IF($D145=CashLabel,IF(ISNUMBER($N145),$N145,1),MIN(IF(ISNUMBER($N145),$N145,IFERROR(VLOOKUP($D145,LVTable,2,FALSE),0)),LVCap)))</f>
        <v/>
      </c>
      <c r="P145" s="25">
        <f>IF($B145="","",$M145*$O145)</f>
        <v/>
      </c>
      <c r="Q145" s="16">
        <f>IF($B145="","",IFERROR(VLOOKUP($G145,FXRates,5,FALSE),$G145))</f>
        <v/>
      </c>
      <c r="R145" s="14">
        <f>IF($B145="","",IF($D145=CashLabel,"",SUMIFS($P$5:$P$204,$B$5:$B$204,$B145,$D$5:$D$204,"&lt;&gt;"&amp;CashLabel)/ConcDenom))</f>
        <v/>
      </c>
      <c r="S145" s="14">
        <f>IF($B145="","",IF($D145=CashLabel,"",SUMIFS($P$5:$P$204,$E$5:$E$204,$E145,$D$5:$D$204,"&lt;&gt;"&amp;CashLabel)/ConcDenom))</f>
        <v/>
      </c>
      <c r="T145" s="14">
        <f>IF($B145="","",IF($D145=CashLabel,"",SUMIFS($P$5:$P$204,$F$5:$F$204,$F145,$D$5:$D$204,"&lt;&gt;"&amp;CashLabel)/ConcDenom))</f>
        <v/>
      </c>
      <c r="U145" s="14">
        <f>IF($B145="","",IF($D145=CashLabel,"",SUMIFS($P$5:$P$204,$D$5:$D$204,$D145,$D$5:$D$204,"&lt;&gt;"&amp;CashLabel)/ConcDenom))</f>
        <v/>
      </c>
      <c r="V145" s="15">
        <f>IF($B145="","",IF($D145=CashLabel,1,IF($R145&gt;ThrSingle,ThrSingle/$R145,1)))</f>
        <v/>
      </c>
      <c r="W145" s="15">
        <f>IF($B145="","",IF($D145=CashLabel,1,IF($S145&gt;ThrIssuer,ThrIssuer/$S145,1)))</f>
        <v/>
      </c>
      <c r="X145" s="15">
        <f>IF($B145="","",IF($D145=CashLabel,1,IF($T145&gt;IFERROR(VLOOKUP($F145,CountryThr,2,FALSE),DefThrCountry),IFERROR(VLOOKUP($F145,CountryThr,2,FALSE),DefThrCountry)/$T145,1)))</f>
        <v/>
      </c>
      <c r="Y145" s="15">
        <f>IF($B145="","",IF($D145=CashLabel,1,IF($U145&gt;IFERROR(VLOOKUP($D145,LVTable,3,FALSE),DefThrAsset),IFERROR(VLOOKUP($D145,LVTable,3,FALSE),DefThrAsset)/$U145,1)))</f>
        <v/>
      </c>
      <c r="Z145" s="34">
        <f>IF($B145="","",IF($D145=CashLabel,1,MIN($V145:$Y145)))</f>
        <v/>
      </c>
      <c r="AA145" s="25">
        <f>IF($B145="","",$P145*$Z145)</f>
        <v/>
      </c>
      <c r="AB145" s="33">
        <f>IF($B145="","",$P145-$AA145)</f>
        <v/>
      </c>
      <c r="AC145" s="21" t="n"/>
      <c r="AD145" s="33">
        <f>IF($B145="","",$M145*(1+IF(ISNUMBER($AC145),$AC145,0)))</f>
        <v/>
      </c>
      <c r="AE145" s="33">
        <f>IF($B145="","",$AD145*$O145)</f>
        <v/>
      </c>
      <c r="AF145" s="14">
        <f>IF($B145="","",IF($D145=CashLabel,"",SUMIFS($AE$5:$AE$204,$B$5:$B$204,$B145,$D$5:$D$204,"&lt;&gt;"&amp;CashLabel)/ConcDenomStr))</f>
        <v/>
      </c>
      <c r="AG145" s="14">
        <f>IF($B145="","",IF($D145=CashLabel,"",SUMIFS($AE$5:$AE$204,$E$5:$E$204,$E145,$D$5:$D$204,"&lt;&gt;"&amp;CashLabel)/ConcDenomStr))</f>
        <v/>
      </c>
      <c r="AH145" s="14">
        <f>IF($B145="","",IF($D145=CashLabel,"",SUMIFS($AE$5:$AE$204,$F$5:$F$204,$F145,$D$5:$D$204,"&lt;&gt;"&amp;CashLabel)/ConcDenomStr))</f>
        <v/>
      </c>
      <c r="AI145" s="14">
        <f>IF($B145="","",IF($D145=CashLabel,"",SUMIFS($AE$5:$AE$204,$D$5:$D$204,$D145,$D$5:$D$204,"&lt;&gt;"&amp;CashLabel)/ConcDenomStr))</f>
        <v/>
      </c>
      <c r="AJ145" s="15">
        <f>IF($B145="","",IF($D145=CashLabel,1,MIN(IF($AF145&gt;ThrSingle,ThrSingle/$AF145,1),IF($AG145&gt;ThrIssuer,ThrIssuer/$AG145,1),IF($AH145&gt;IFERROR(VLOOKUP($F145,CountryThr,2,FALSE),DefThrCountry),IFERROR(VLOOKUP($F145,CountryThr,2,FALSE),DefThrCountry)/$AH145,1),IF($AI145&gt;IFERROR(VLOOKUP($D145,LVTable,3,FALSE),DefThrAsset),IFERROR(VLOOKUP($D145,LVTable,3,FALSE),DefThrAsset)/$AI145,1))))</f>
        <v/>
      </c>
      <c r="AK145" s="33">
        <f>IF($B145="","",$AE145*$AJ145)</f>
        <v/>
      </c>
    </row>
    <row r="146">
      <c r="A146" s="16">
        <f>IF($B146="","",ROW()-4)</f>
        <v/>
      </c>
      <c r="B146" s="20" t="n"/>
      <c r="C146" s="20" t="n"/>
      <c r="D146" s="20" t="n"/>
      <c r="E146" s="20" t="n"/>
      <c r="F146" s="20" t="n"/>
      <c r="G146" s="20" t="n"/>
      <c r="H146" s="30" t="n"/>
      <c r="I146" s="30" t="n"/>
      <c r="J146" s="30" t="n"/>
      <c r="K146" s="31">
        <f>IF($B146="","",IF(ISNUMBER($J146),$J146,$I146))</f>
        <v/>
      </c>
      <c r="L146" s="32">
        <f>IF($B146="","",IFERROR(VLOOKUP($G146,FXRates,4,FALSE),1))</f>
        <v/>
      </c>
      <c r="M146" s="33">
        <f>IF($B146="","",$H146*$K146*$L146)</f>
        <v/>
      </c>
      <c r="N146" s="21" t="n"/>
      <c r="O146" s="14">
        <f>IF($B146="","",IF($D146=CashLabel,IF(ISNUMBER($N146),$N146,1),MIN(IF(ISNUMBER($N146),$N146,IFERROR(VLOOKUP($D146,LVTable,2,FALSE),0)),LVCap)))</f>
        <v/>
      </c>
      <c r="P146" s="25">
        <f>IF($B146="","",$M146*$O146)</f>
        <v/>
      </c>
      <c r="Q146" s="16">
        <f>IF($B146="","",IFERROR(VLOOKUP($G146,FXRates,5,FALSE),$G146))</f>
        <v/>
      </c>
      <c r="R146" s="14">
        <f>IF($B146="","",IF($D146=CashLabel,"",SUMIFS($P$5:$P$204,$B$5:$B$204,$B146,$D$5:$D$204,"&lt;&gt;"&amp;CashLabel)/ConcDenom))</f>
        <v/>
      </c>
      <c r="S146" s="14">
        <f>IF($B146="","",IF($D146=CashLabel,"",SUMIFS($P$5:$P$204,$E$5:$E$204,$E146,$D$5:$D$204,"&lt;&gt;"&amp;CashLabel)/ConcDenom))</f>
        <v/>
      </c>
      <c r="T146" s="14">
        <f>IF($B146="","",IF($D146=CashLabel,"",SUMIFS($P$5:$P$204,$F$5:$F$204,$F146,$D$5:$D$204,"&lt;&gt;"&amp;CashLabel)/ConcDenom))</f>
        <v/>
      </c>
      <c r="U146" s="14">
        <f>IF($B146="","",IF($D146=CashLabel,"",SUMIFS($P$5:$P$204,$D$5:$D$204,$D146,$D$5:$D$204,"&lt;&gt;"&amp;CashLabel)/ConcDenom))</f>
        <v/>
      </c>
      <c r="V146" s="15">
        <f>IF($B146="","",IF($D146=CashLabel,1,IF($R146&gt;ThrSingle,ThrSingle/$R146,1)))</f>
        <v/>
      </c>
      <c r="W146" s="15">
        <f>IF($B146="","",IF($D146=CashLabel,1,IF($S146&gt;ThrIssuer,ThrIssuer/$S146,1)))</f>
        <v/>
      </c>
      <c r="X146" s="15">
        <f>IF($B146="","",IF($D146=CashLabel,1,IF($T146&gt;IFERROR(VLOOKUP($F146,CountryThr,2,FALSE),DefThrCountry),IFERROR(VLOOKUP($F146,CountryThr,2,FALSE),DefThrCountry)/$T146,1)))</f>
        <v/>
      </c>
      <c r="Y146" s="15">
        <f>IF($B146="","",IF($D146=CashLabel,1,IF($U146&gt;IFERROR(VLOOKUP($D146,LVTable,3,FALSE),DefThrAsset),IFERROR(VLOOKUP($D146,LVTable,3,FALSE),DefThrAsset)/$U146,1)))</f>
        <v/>
      </c>
      <c r="Z146" s="34">
        <f>IF($B146="","",IF($D146=CashLabel,1,MIN($V146:$Y146)))</f>
        <v/>
      </c>
      <c r="AA146" s="25">
        <f>IF($B146="","",$P146*$Z146)</f>
        <v/>
      </c>
      <c r="AB146" s="33">
        <f>IF($B146="","",$P146-$AA146)</f>
        <v/>
      </c>
      <c r="AC146" s="21" t="n"/>
      <c r="AD146" s="33">
        <f>IF($B146="","",$M146*(1+IF(ISNUMBER($AC146),$AC146,0)))</f>
        <v/>
      </c>
      <c r="AE146" s="33">
        <f>IF($B146="","",$AD146*$O146)</f>
        <v/>
      </c>
      <c r="AF146" s="14">
        <f>IF($B146="","",IF($D146=CashLabel,"",SUMIFS($AE$5:$AE$204,$B$5:$B$204,$B146,$D$5:$D$204,"&lt;&gt;"&amp;CashLabel)/ConcDenomStr))</f>
        <v/>
      </c>
      <c r="AG146" s="14">
        <f>IF($B146="","",IF($D146=CashLabel,"",SUMIFS($AE$5:$AE$204,$E$5:$E$204,$E146,$D$5:$D$204,"&lt;&gt;"&amp;CashLabel)/ConcDenomStr))</f>
        <v/>
      </c>
      <c r="AH146" s="14">
        <f>IF($B146="","",IF($D146=CashLabel,"",SUMIFS($AE$5:$AE$204,$F$5:$F$204,$F146,$D$5:$D$204,"&lt;&gt;"&amp;CashLabel)/ConcDenomStr))</f>
        <v/>
      </c>
      <c r="AI146" s="14">
        <f>IF($B146="","",IF($D146=CashLabel,"",SUMIFS($AE$5:$AE$204,$D$5:$D$204,$D146,$D$5:$D$204,"&lt;&gt;"&amp;CashLabel)/ConcDenomStr))</f>
        <v/>
      </c>
      <c r="AJ146" s="15">
        <f>IF($B146="","",IF($D146=CashLabel,1,MIN(IF($AF146&gt;ThrSingle,ThrSingle/$AF146,1),IF($AG146&gt;ThrIssuer,ThrIssuer/$AG146,1),IF($AH146&gt;IFERROR(VLOOKUP($F146,CountryThr,2,FALSE),DefThrCountry),IFERROR(VLOOKUP($F146,CountryThr,2,FALSE),DefThrCountry)/$AH146,1),IF($AI146&gt;IFERROR(VLOOKUP($D146,LVTable,3,FALSE),DefThrAsset),IFERROR(VLOOKUP($D146,LVTable,3,FALSE),DefThrAsset)/$AI146,1))))</f>
        <v/>
      </c>
      <c r="AK146" s="33">
        <f>IF($B146="","",$AE146*$AJ146)</f>
        <v/>
      </c>
    </row>
    <row r="147">
      <c r="A147" s="16">
        <f>IF($B147="","",ROW()-4)</f>
        <v/>
      </c>
      <c r="B147" s="20" t="n"/>
      <c r="C147" s="20" t="n"/>
      <c r="D147" s="20" t="n"/>
      <c r="E147" s="20" t="n"/>
      <c r="F147" s="20" t="n"/>
      <c r="G147" s="20" t="n"/>
      <c r="H147" s="30" t="n"/>
      <c r="I147" s="30" t="n"/>
      <c r="J147" s="30" t="n"/>
      <c r="K147" s="31">
        <f>IF($B147="","",IF(ISNUMBER($J147),$J147,$I147))</f>
        <v/>
      </c>
      <c r="L147" s="32">
        <f>IF($B147="","",IFERROR(VLOOKUP($G147,FXRates,4,FALSE),1))</f>
        <v/>
      </c>
      <c r="M147" s="33">
        <f>IF($B147="","",$H147*$K147*$L147)</f>
        <v/>
      </c>
      <c r="N147" s="21" t="n"/>
      <c r="O147" s="14">
        <f>IF($B147="","",IF($D147=CashLabel,IF(ISNUMBER($N147),$N147,1),MIN(IF(ISNUMBER($N147),$N147,IFERROR(VLOOKUP($D147,LVTable,2,FALSE),0)),LVCap)))</f>
        <v/>
      </c>
      <c r="P147" s="25">
        <f>IF($B147="","",$M147*$O147)</f>
        <v/>
      </c>
      <c r="Q147" s="16">
        <f>IF($B147="","",IFERROR(VLOOKUP($G147,FXRates,5,FALSE),$G147))</f>
        <v/>
      </c>
      <c r="R147" s="14">
        <f>IF($B147="","",IF($D147=CashLabel,"",SUMIFS($P$5:$P$204,$B$5:$B$204,$B147,$D$5:$D$204,"&lt;&gt;"&amp;CashLabel)/ConcDenom))</f>
        <v/>
      </c>
      <c r="S147" s="14">
        <f>IF($B147="","",IF($D147=CashLabel,"",SUMIFS($P$5:$P$204,$E$5:$E$204,$E147,$D$5:$D$204,"&lt;&gt;"&amp;CashLabel)/ConcDenom))</f>
        <v/>
      </c>
      <c r="T147" s="14">
        <f>IF($B147="","",IF($D147=CashLabel,"",SUMIFS($P$5:$P$204,$F$5:$F$204,$F147,$D$5:$D$204,"&lt;&gt;"&amp;CashLabel)/ConcDenom))</f>
        <v/>
      </c>
      <c r="U147" s="14">
        <f>IF($B147="","",IF($D147=CashLabel,"",SUMIFS($P$5:$P$204,$D$5:$D$204,$D147,$D$5:$D$204,"&lt;&gt;"&amp;CashLabel)/ConcDenom))</f>
        <v/>
      </c>
      <c r="V147" s="15">
        <f>IF($B147="","",IF($D147=CashLabel,1,IF($R147&gt;ThrSingle,ThrSingle/$R147,1)))</f>
        <v/>
      </c>
      <c r="W147" s="15">
        <f>IF($B147="","",IF($D147=CashLabel,1,IF($S147&gt;ThrIssuer,ThrIssuer/$S147,1)))</f>
        <v/>
      </c>
      <c r="X147" s="15">
        <f>IF($B147="","",IF($D147=CashLabel,1,IF($T147&gt;IFERROR(VLOOKUP($F147,CountryThr,2,FALSE),DefThrCountry),IFERROR(VLOOKUP($F147,CountryThr,2,FALSE),DefThrCountry)/$T147,1)))</f>
        <v/>
      </c>
      <c r="Y147" s="15">
        <f>IF($B147="","",IF($D147=CashLabel,1,IF($U147&gt;IFERROR(VLOOKUP($D147,LVTable,3,FALSE),DefThrAsset),IFERROR(VLOOKUP($D147,LVTable,3,FALSE),DefThrAsset)/$U147,1)))</f>
        <v/>
      </c>
      <c r="Z147" s="34">
        <f>IF($B147="","",IF($D147=CashLabel,1,MIN($V147:$Y147)))</f>
        <v/>
      </c>
      <c r="AA147" s="25">
        <f>IF($B147="","",$P147*$Z147)</f>
        <v/>
      </c>
      <c r="AB147" s="33">
        <f>IF($B147="","",$P147-$AA147)</f>
        <v/>
      </c>
      <c r="AC147" s="21" t="n"/>
      <c r="AD147" s="33">
        <f>IF($B147="","",$M147*(1+IF(ISNUMBER($AC147),$AC147,0)))</f>
        <v/>
      </c>
      <c r="AE147" s="33">
        <f>IF($B147="","",$AD147*$O147)</f>
        <v/>
      </c>
      <c r="AF147" s="14">
        <f>IF($B147="","",IF($D147=CashLabel,"",SUMIFS($AE$5:$AE$204,$B$5:$B$204,$B147,$D$5:$D$204,"&lt;&gt;"&amp;CashLabel)/ConcDenomStr))</f>
        <v/>
      </c>
      <c r="AG147" s="14">
        <f>IF($B147="","",IF($D147=CashLabel,"",SUMIFS($AE$5:$AE$204,$E$5:$E$204,$E147,$D$5:$D$204,"&lt;&gt;"&amp;CashLabel)/ConcDenomStr))</f>
        <v/>
      </c>
      <c r="AH147" s="14">
        <f>IF($B147="","",IF($D147=CashLabel,"",SUMIFS($AE$5:$AE$204,$F$5:$F$204,$F147,$D$5:$D$204,"&lt;&gt;"&amp;CashLabel)/ConcDenomStr))</f>
        <v/>
      </c>
      <c r="AI147" s="14">
        <f>IF($B147="","",IF($D147=CashLabel,"",SUMIFS($AE$5:$AE$204,$D$5:$D$204,$D147,$D$5:$D$204,"&lt;&gt;"&amp;CashLabel)/ConcDenomStr))</f>
        <v/>
      </c>
      <c r="AJ147" s="15">
        <f>IF($B147="","",IF($D147=CashLabel,1,MIN(IF($AF147&gt;ThrSingle,ThrSingle/$AF147,1),IF($AG147&gt;ThrIssuer,ThrIssuer/$AG147,1),IF($AH147&gt;IFERROR(VLOOKUP($F147,CountryThr,2,FALSE),DefThrCountry),IFERROR(VLOOKUP($F147,CountryThr,2,FALSE),DefThrCountry)/$AH147,1),IF($AI147&gt;IFERROR(VLOOKUP($D147,LVTable,3,FALSE),DefThrAsset),IFERROR(VLOOKUP($D147,LVTable,3,FALSE),DefThrAsset)/$AI147,1))))</f>
        <v/>
      </c>
      <c r="AK147" s="33">
        <f>IF($B147="","",$AE147*$AJ147)</f>
        <v/>
      </c>
    </row>
    <row r="148">
      <c r="A148" s="16">
        <f>IF($B148="","",ROW()-4)</f>
        <v/>
      </c>
      <c r="B148" s="20" t="n"/>
      <c r="C148" s="20" t="n"/>
      <c r="D148" s="20" t="n"/>
      <c r="E148" s="20" t="n"/>
      <c r="F148" s="20" t="n"/>
      <c r="G148" s="20" t="n"/>
      <c r="H148" s="30" t="n"/>
      <c r="I148" s="30" t="n"/>
      <c r="J148" s="30" t="n"/>
      <c r="K148" s="31">
        <f>IF($B148="","",IF(ISNUMBER($J148),$J148,$I148))</f>
        <v/>
      </c>
      <c r="L148" s="32">
        <f>IF($B148="","",IFERROR(VLOOKUP($G148,FXRates,4,FALSE),1))</f>
        <v/>
      </c>
      <c r="M148" s="33">
        <f>IF($B148="","",$H148*$K148*$L148)</f>
        <v/>
      </c>
      <c r="N148" s="21" t="n"/>
      <c r="O148" s="14">
        <f>IF($B148="","",IF($D148=CashLabel,IF(ISNUMBER($N148),$N148,1),MIN(IF(ISNUMBER($N148),$N148,IFERROR(VLOOKUP($D148,LVTable,2,FALSE),0)),LVCap)))</f>
        <v/>
      </c>
      <c r="P148" s="25">
        <f>IF($B148="","",$M148*$O148)</f>
        <v/>
      </c>
      <c r="Q148" s="16">
        <f>IF($B148="","",IFERROR(VLOOKUP($G148,FXRates,5,FALSE),$G148))</f>
        <v/>
      </c>
      <c r="R148" s="14">
        <f>IF($B148="","",IF($D148=CashLabel,"",SUMIFS($P$5:$P$204,$B$5:$B$204,$B148,$D$5:$D$204,"&lt;&gt;"&amp;CashLabel)/ConcDenom))</f>
        <v/>
      </c>
      <c r="S148" s="14">
        <f>IF($B148="","",IF($D148=CashLabel,"",SUMIFS($P$5:$P$204,$E$5:$E$204,$E148,$D$5:$D$204,"&lt;&gt;"&amp;CashLabel)/ConcDenom))</f>
        <v/>
      </c>
      <c r="T148" s="14">
        <f>IF($B148="","",IF($D148=CashLabel,"",SUMIFS($P$5:$P$204,$F$5:$F$204,$F148,$D$5:$D$204,"&lt;&gt;"&amp;CashLabel)/ConcDenom))</f>
        <v/>
      </c>
      <c r="U148" s="14">
        <f>IF($B148="","",IF($D148=CashLabel,"",SUMIFS($P$5:$P$204,$D$5:$D$204,$D148,$D$5:$D$204,"&lt;&gt;"&amp;CashLabel)/ConcDenom))</f>
        <v/>
      </c>
      <c r="V148" s="15">
        <f>IF($B148="","",IF($D148=CashLabel,1,IF($R148&gt;ThrSingle,ThrSingle/$R148,1)))</f>
        <v/>
      </c>
      <c r="W148" s="15">
        <f>IF($B148="","",IF($D148=CashLabel,1,IF($S148&gt;ThrIssuer,ThrIssuer/$S148,1)))</f>
        <v/>
      </c>
      <c r="X148" s="15">
        <f>IF($B148="","",IF($D148=CashLabel,1,IF($T148&gt;IFERROR(VLOOKUP($F148,CountryThr,2,FALSE),DefThrCountry),IFERROR(VLOOKUP($F148,CountryThr,2,FALSE),DefThrCountry)/$T148,1)))</f>
        <v/>
      </c>
      <c r="Y148" s="15">
        <f>IF($B148="","",IF($D148=CashLabel,1,IF($U148&gt;IFERROR(VLOOKUP($D148,LVTable,3,FALSE),DefThrAsset),IFERROR(VLOOKUP($D148,LVTable,3,FALSE),DefThrAsset)/$U148,1)))</f>
        <v/>
      </c>
      <c r="Z148" s="34">
        <f>IF($B148="","",IF($D148=CashLabel,1,MIN($V148:$Y148)))</f>
        <v/>
      </c>
      <c r="AA148" s="25">
        <f>IF($B148="","",$P148*$Z148)</f>
        <v/>
      </c>
      <c r="AB148" s="33">
        <f>IF($B148="","",$P148-$AA148)</f>
        <v/>
      </c>
      <c r="AC148" s="21" t="n"/>
      <c r="AD148" s="33">
        <f>IF($B148="","",$M148*(1+IF(ISNUMBER($AC148),$AC148,0)))</f>
        <v/>
      </c>
      <c r="AE148" s="33">
        <f>IF($B148="","",$AD148*$O148)</f>
        <v/>
      </c>
      <c r="AF148" s="14">
        <f>IF($B148="","",IF($D148=CashLabel,"",SUMIFS($AE$5:$AE$204,$B$5:$B$204,$B148,$D$5:$D$204,"&lt;&gt;"&amp;CashLabel)/ConcDenomStr))</f>
        <v/>
      </c>
      <c r="AG148" s="14">
        <f>IF($B148="","",IF($D148=CashLabel,"",SUMIFS($AE$5:$AE$204,$E$5:$E$204,$E148,$D$5:$D$204,"&lt;&gt;"&amp;CashLabel)/ConcDenomStr))</f>
        <v/>
      </c>
      <c r="AH148" s="14">
        <f>IF($B148="","",IF($D148=CashLabel,"",SUMIFS($AE$5:$AE$204,$F$5:$F$204,$F148,$D$5:$D$204,"&lt;&gt;"&amp;CashLabel)/ConcDenomStr))</f>
        <v/>
      </c>
      <c r="AI148" s="14">
        <f>IF($B148="","",IF($D148=CashLabel,"",SUMIFS($AE$5:$AE$204,$D$5:$D$204,$D148,$D$5:$D$204,"&lt;&gt;"&amp;CashLabel)/ConcDenomStr))</f>
        <v/>
      </c>
      <c r="AJ148" s="15">
        <f>IF($B148="","",IF($D148=CashLabel,1,MIN(IF($AF148&gt;ThrSingle,ThrSingle/$AF148,1),IF($AG148&gt;ThrIssuer,ThrIssuer/$AG148,1),IF($AH148&gt;IFERROR(VLOOKUP($F148,CountryThr,2,FALSE),DefThrCountry),IFERROR(VLOOKUP($F148,CountryThr,2,FALSE),DefThrCountry)/$AH148,1),IF($AI148&gt;IFERROR(VLOOKUP($D148,LVTable,3,FALSE),DefThrAsset),IFERROR(VLOOKUP($D148,LVTable,3,FALSE),DefThrAsset)/$AI148,1))))</f>
        <v/>
      </c>
      <c r="AK148" s="33">
        <f>IF($B148="","",$AE148*$AJ148)</f>
        <v/>
      </c>
    </row>
    <row r="149">
      <c r="A149" s="16">
        <f>IF($B149="","",ROW()-4)</f>
        <v/>
      </c>
      <c r="B149" s="20" t="n"/>
      <c r="C149" s="20" t="n"/>
      <c r="D149" s="20" t="n"/>
      <c r="E149" s="20" t="n"/>
      <c r="F149" s="20" t="n"/>
      <c r="G149" s="20" t="n"/>
      <c r="H149" s="30" t="n"/>
      <c r="I149" s="30" t="n"/>
      <c r="J149" s="30" t="n"/>
      <c r="K149" s="31">
        <f>IF($B149="","",IF(ISNUMBER($J149),$J149,$I149))</f>
        <v/>
      </c>
      <c r="L149" s="32">
        <f>IF($B149="","",IFERROR(VLOOKUP($G149,FXRates,4,FALSE),1))</f>
        <v/>
      </c>
      <c r="M149" s="33">
        <f>IF($B149="","",$H149*$K149*$L149)</f>
        <v/>
      </c>
      <c r="N149" s="21" t="n"/>
      <c r="O149" s="14">
        <f>IF($B149="","",IF($D149=CashLabel,IF(ISNUMBER($N149),$N149,1),MIN(IF(ISNUMBER($N149),$N149,IFERROR(VLOOKUP($D149,LVTable,2,FALSE),0)),LVCap)))</f>
        <v/>
      </c>
      <c r="P149" s="25">
        <f>IF($B149="","",$M149*$O149)</f>
        <v/>
      </c>
      <c r="Q149" s="16">
        <f>IF($B149="","",IFERROR(VLOOKUP($G149,FXRates,5,FALSE),$G149))</f>
        <v/>
      </c>
      <c r="R149" s="14">
        <f>IF($B149="","",IF($D149=CashLabel,"",SUMIFS($P$5:$P$204,$B$5:$B$204,$B149,$D$5:$D$204,"&lt;&gt;"&amp;CashLabel)/ConcDenom))</f>
        <v/>
      </c>
      <c r="S149" s="14">
        <f>IF($B149="","",IF($D149=CashLabel,"",SUMIFS($P$5:$P$204,$E$5:$E$204,$E149,$D$5:$D$204,"&lt;&gt;"&amp;CashLabel)/ConcDenom))</f>
        <v/>
      </c>
      <c r="T149" s="14">
        <f>IF($B149="","",IF($D149=CashLabel,"",SUMIFS($P$5:$P$204,$F$5:$F$204,$F149,$D$5:$D$204,"&lt;&gt;"&amp;CashLabel)/ConcDenom))</f>
        <v/>
      </c>
      <c r="U149" s="14">
        <f>IF($B149="","",IF($D149=CashLabel,"",SUMIFS($P$5:$P$204,$D$5:$D$204,$D149,$D$5:$D$204,"&lt;&gt;"&amp;CashLabel)/ConcDenom))</f>
        <v/>
      </c>
      <c r="V149" s="15">
        <f>IF($B149="","",IF($D149=CashLabel,1,IF($R149&gt;ThrSingle,ThrSingle/$R149,1)))</f>
        <v/>
      </c>
      <c r="W149" s="15">
        <f>IF($B149="","",IF($D149=CashLabel,1,IF($S149&gt;ThrIssuer,ThrIssuer/$S149,1)))</f>
        <v/>
      </c>
      <c r="X149" s="15">
        <f>IF($B149="","",IF($D149=CashLabel,1,IF($T149&gt;IFERROR(VLOOKUP($F149,CountryThr,2,FALSE),DefThrCountry),IFERROR(VLOOKUP($F149,CountryThr,2,FALSE),DefThrCountry)/$T149,1)))</f>
        <v/>
      </c>
      <c r="Y149" s="15">
        <f>IF($B149="","",IF($D149=CashLabel,1,IF($U149&gt;IFERROR(VLOOKUP($D149,LVTable,3,FALSE),DefThrAsset),IFERROR(VLOOKUP($D149,LVTable,3,FALSE),DefThrAsset)/$U149,1)))</f>
        <v/>
      </c>
      <c r="Z149" s="34">
        <f>IF($B149="","",IF($D149=CashLabel,1,MIN($V149:$Y149)))</f>
        <v/>
      </c>
      <c r="AA149" s="25">
        <f>IF($B149="","",$P149*$Z149)</f>
        <v/>
      </c>
      <c r="AB149" s="33">
        <f>IF($B149="","",$P149-$AA149)</f>
        <v/>
      </c>
      <c r="AC149" s="21" t="n"/>
      <c r="AD149" s="33">
        <f>IF($B149="","",$M149*(1+IF(ISNUMBER($AC149),$AC149,0)))</f>
        <v/>
      </c>
      <c r="AE149" s="33">
        <f>IF($B149="","",$AD149*$O149)</f>
        <v/>
      </c>
      <c r="AF149" s="14">
        <f>IF($B149="","",IF($D149=CashLabel,"",SUMIFS($AE$5:$AE$204,$B$5:$B$204,$B149,$D$5:$D$204,"&lt;&gt;"&amp;CashLabel)/ConcDenomStr))</f>
        <v/>
      </c>
      <c r="AG149" s="14">
        <f>IF($B149="","",IF($D149=CashLabel,"",SUMIFS($AE$5:$AE$204,$E$5:$E$204,$E149,$D$5:$D$204,"&lt;&gt;"&amp;CashLabel)/ConcDenomStr))</f>
        <v/>
      </c>
      <c r="AH149" s="14">
        <f>IF($B149="","",IF($D149=CashLabel,"",SUMIFS($AE$5:$AE$204,$F$5:$F$204,$F149,$D$5:$D$204,"&lt;&gt;"&amp;CashLabel)/ConcDenomStr))</f>
        <v/>
      </c>
      <c r="AI149" s="14">
        <f>IF($B149="","",IF($D149=CashLabel,"",SUMIFS($AE$5:$AE$204,$D$5:$D$204,$D149,$D$5:$D$204,"&lt;&gt;"&amp;CashLabel)/ConcDenomStr))</f>
        <v/>
      </c>
      <c r="AJ149" s="15">
        <f>IF($B149="","",IF($D149=CashLabel,1,MIN(IF($AF149&gt;ThrSingle,ThrSingle/$AF149,1),IF($AG149&gt;ThrIssuer,ThrIssuer/$AG149,1),IF($AH149&gt;IFERROR(VLOOKUP($F149,CountryThr,2,FALSE),DefThrCountry),IFERROR(VLOOKUP($F149,CountryThr,2,FALSE),DefThrCountry)/$AH149,1),IF($AI149&gt;IFERROR(VLOOKUP($D149,LVTable,3,FALSE),DefThrAsset),IFERROR(VLOOKUP($D149,LVTable,3,FALSE),DefThrAsset)/$AI149,1))))</f>
        <v/>
      </c>
      <c r="AK149" s="33">
        <f>IF($B149="","",$AE149*$AJ149)</f>
        <v/>
      </c>
    </row>
    <row r="150">
      <c r="A150" s="16">
        <f>IF($B150="","",ROW()-4)</f>
        <v/>
      </c>
      <c r="B150" s="20" t="n"/>
      <c r="C150" s="20" t="n"/>
      <c r="D150" s="20" t="n"/>
      <c r="E150" s="20" t="n"/>
      <c r="F150" s="20" t="n"/>
      <c r="G150" s="20" t="n"/>
      <c r="H150" s="30" t="n"/>
      <c r="I150" s="30" t="n"/>
      <c r="J150" s="30" t="n"/>
      <c r="K150" s="31">
        <f>IF($B150="","",IF(ISNUMBER($J150),$J150,$I150))</f>
        <v/>
      </c>
      <c r="L150" s="32">
        <f>IF($B150="","",IFERROR(VLOOKUP($G150,FXRates,4,FALSE),1))</f>
        <v/>
      </c>
      <c r="M150" s="33">
        <f>IF($B150="","",$H150*$K150*$L150)</f>
        <v/>
      </c>
      <c r="N150" s="21" t="n"/>
      <c r="O150" s="14">
        <f>IF($B150="","",IF($D150=CashLabel,IF(ISNUMBER($N150),$N150,1),MIN(IF(ISNUMBER($N150),$N150,IFERROR(VLOOKUP($D150,LVTable,2,FALSE),0)),LVCap)))</f>
        <v/>
      </c>
      <c r="P150" s="25">
        <f>IF($B150="","",$M150*$O150)</f>
        <v/>
      </c>
      <c r="Q150" s="16">
        <f>IF($B150="","",IFERROR(VLOOKUP($G150,FXRates,5,FALSE),$G150))</f>
        <v/>
      </c>
      <c r="R150" s="14">
        <f>IF($B150="","",IF($D150=CashLabel,"",SUMIFS($P$5:$P$204,$B$5:$B$204,$B150,$D$5:$D$204,"&lt;&gt;"&amp;CashLabel)/ConcDenom))</f>
        <v/>
      </c>
      <c r="S150" s="14">
        <f>IF($B150="","",IF($D150=CashLabel,"",SUMIFS($P$5:$P$204,$E$5:$E$204,$E150,$D$5:$D$204,"&lt;&gt;"&amp;CashLabel)/ConcDenom))</f>
        <v/>
      </c>
      <c r="T150" s="14">
        <f>IF($B150="","",IF($D150=CashLabel,"",SUMIFS($P$5:$P$204,$F$5:$F$204,$F150,$D$5:$D$204,"&lt;&gt;"&amp;CashLabel)/ConcDenom))</f>
        <v/>
      </c>
      <c r="U150" s="14">
        <f>IF($B150="","",IF($D150=CashLabel,"",SUMIFS($P$5:$P$204,$D$5:$D$204,$D150,$D$5:$D$204,"&lt;&gt;"&amp;CashLabel)/ConcDenom))</f>
        <v/>
      </c>
      <c r="V150" s="15">
        <f>IF($B150="","",IF($D150=CashLabel,1,IF($R150&gt;ThrSingle,ThrSingle/$R150,1)))</f>
        <v/>
      </c>
      <c r="W150" s="15">
        <f>IF($B150="","",IF($D150=CashLabel,1,IF($S150&gt;ThrIssuer,ThrIssuer/$S150,1)))</f>
        <v/>
      </c>
      <c r="X150" s="15">
        <f>IF($B150="","",IF($D150=CashLabel,1,IF($T150&gt;IFERROR(VLOOKUP($F150,CountryThr,2,FALSE),DefThrCountry),IFERROR(VLOOKUP($F150,CountryThr,2,FALSE),DefThrCountry)/$T150,1)))</f>
        <v/>
      </c>
      <c r="Y150" s="15">
        <f>IF($B150="","",IF($D150=CashLabel,1,IF($U150&gt;IFERROR(VLOOKUP($D150,LVTable,3,FALSE),DefThrAsset),IFERROR(VLOOKUP($D150,LVTable,3,FALSE),DefThrAsset)/$U150,1)))</f>
        <v/>
      </c>
      <c r="Z150" s="34">
        <f>IF($B150="","",IF($D150=CashLabel,1,MIN($V150:$Y150)))</f>
        <v/>
      </c>
      <c r="AA150" s="25">
        <f>IF($B150="","",$P150*$Z150)</f>
        <v/>
      </c>
      <c r="AB150" s="33">
        <f>IF($B150="","",$P150-$AA150)</f>
        <v/>
      </c>
      <c r="AC150" s="21" t="n"/>
      <c r="AD150" s="33">
        <f>IF($B150="","",$M150*(1+IF(ISNUMBER($AC150),$AC150,0)))</f>
        <v/>
      </c>
      <c r="AE150" s="33">
        <f>IF($B150="","",$AD150*$O150)</f>
        <v/>
      </c>
      <c r="AF150" s="14">
        <f>IF($B150="","",IF($D150=CashLabel,"",SUMIFS($AE$5:$AE$204,$B$5:$B$204,$B150,$D$5:$D$204,"&lt;&gt;"&amp;CashLabel)/ConcDenomStr))</f>
        <v/>
      </c>
      <c r="AG150" s="14">
        <f>IF($B150="","",IF($D150=CashLabel,"",SUMIFS($AE$5:$AE$204,$E$5:$E$204,$E150,$D$5:$D$204,"&lt;&gt;"&amp;CashLabel)/ConcDenomStr))</f>
        <v/>
      </c>
      <c r="AH150" s="14">
        <f>IF($B150="","",IF($D150=CashLabel,"",SUMIFS($AE$5:$AE$204,$F$5:$F$204,$F150,$D$5:$D$204,"&lt;&gt;"&amp;CashLabel)/ConcDenomStr))</f>
        <v/>
      </c>
      <c r="AI150" s="14">
        <f>IF($B150="","",IF($D150=CashLabel,"",SUMIFS($AE$5:$AE$204,$D$5:$D$204,$D150,$D$5:$D$204,"&lt;&gt;"&amp;CashLabel)/ConcDenomStr))</f>
        <v/>
      </c>
      <c r="AJ150" s="15">
        <f>IF($B150="","",IF($D150=CashLabel,1,MIN(IF($AF150&gt;ThrSingle,ThrSingle/$AF150,1),IF($AG150&gt;ThrIssuer,ThrIssuer/$AG150,1),IF($AH150&gt;IFERROR(VLOOKUP($F150,CountryThr,2,FALSE),DefThrCountry),IFERROR(VLOOKUP($F150,CountryThr,2,FALSE),DefThrCountry)/$AH150,1),IF($AI150&gt;IFERROR(VLOOKUP($D150,LVTable,3,FALSE),DefThrAsset),IFERROR(VLOOKUP($D150,LVTable,3,FALSE),DefThrAsset)/$AI150,1))))</f>
        <v/>
      </c>
      <c r="AK150" s="33">
        <f>IF($B150="","",$AE150*$AJ150)</f>
        <v/>
      </c>
    </row>
    <row r="151">
      <c r="A151" s="16">
        <f>IF($B151="","",ROW()-4)</f>
        <v/>
      </c>
      <c r="B151" s="20" t="n"/>
      <c r="C151" s="20" t="n"/>
      <c r="D151" s="20" t="n"/>
      <c r="E151" s="20" t="n"/>
      <c r="F151" s="20" t="n"/>
      <c r="G151" s="20" t="n"/>
      <c r="H151" s="30" t="n"/>
      <c r="I151" s="30" t="n"/>
      <c r="J151" s="30" t="n"/>
      <c r="K151" s="31">
        <f>IF($B151="","",IF(ISNUMBER($J151),$J151,$I151))</f>
        <v/>
      </c>
      <c r="L151" s="32">
        <f>IF($B151="","",IFERROR(VLOOKUP($G151,FXRates,4,FALSE),1))</f>
        <v/>
      </c>
      <c r="M151" s="33">
        <f>IF($B151="","",$H151*$K151*$L151)</f>
        <v/>
      </c>
      <c r="N151" s="21" t="n"/>
      <c r="O151" s="14">
        <f>IF($B151="","",IF($D151=CashLabel,IF(ISNUMBER($N151),$N151,1),MIN(IF(ISNUMBER($N151),$N151,IFERROR(VLOOKUP($D151,LVTable,2,FALSE),0)),LVCap)))</f>
        <v/>
      </c>
      <c r="P151" s="25">
        <f>IF($B151="","",$M151*$O151)</f>
        <v/>
      </c>
      <c r="Q151" s="16">
        <f>IF($B151="","",IFERROR(VLOOKUP($G151,FXRates,5,FALSE),$G151))</f>
        <v/>
      </c>
      <c r="R151" s="14">
        <f>IF($B151="","",IF($D151=CashLabel,"",SUMIFS($P$5:$P$204,$B$5:$B$204,$B151,$D$5:$D$204,"&lt;&gt;"&amp;CashLabel)/ConcDenom))</f>
        <v/>
      </c>
      <c r="S151" s="14">
        <f>IF($B151="","",IF($D151=CashLabel,"",SUMIFS($P$5:$P$204,$E$5:$E$204,$E151,$D$5:$D$204,"&lt;&gt;"&amp;CashLabel)/ConcDenom))</f>
        <v/>
      </c>
      <c r="T151" s="14">
        <f>IF($B151="","",IF($D151=CashLabel,"",SUMIFS($P$5:$P$204,$F$5:$F$204,$F151,$D$5:$D$204,"&lt;&gt;"&amp;CashLabel)/ConcDenom))</f>
        <v/>
      </c>
      <c r="U151" s="14">
        <f>IF($B151="","",IF($D151=CashLabel,"",SUMIFS($P$5:$P$204,$D$5:$D$204,$D151,$D$5:$D$204,"&lt;&gt;"&amp;CashLabel)/ConcDenom))</f>
        <v/>
      </c>
      <c r="V151" s="15">
        <f>IF($B151="","",IF($D151=CashLabel,1,IF($R151&gt;ThrSingle,ThrSingle/$R151,1)))</f>
        <v/>
      </c>
      <c r="W151" s="15">
        <f>IF($B151="","",IF($D151=CashLabel,1,IF($S151&gt;ThrIssuer,ThrIssuer/$S151,1)))</f>
        <v/>
      </c>
      <c r="X151" s="15">
        <f>IF($B151="","",IF($D151=CashLabel,1,IF($T151&gt;IFERROR(VLOOKUP($F151,CountryThr,2,FALSE),DefThrCountry),IFERROR(VLOOKUP($F151,CountryThr,2,FALSE),DefThrCountry)/$T151,1)))</f>
        <v/>
      </c>
      <c r="Y151" s="15">
        <f>IF($B151="","",IF($D151=CashLabel,1,IF($U151&gt;IFERROR(VLOOKUP($D151,LVTable,3,FALSE),DefThrAsset),IFERROR(VLOOKUP($D151,LVTable,3,FALSE),DefThrAsset)/$U151,1)))</f>
        <v/>
      </c>
      <c r="Z151" s="34">
        <f>IF($B151="","",IF($D151=CashLabel,1,MIN($V151:$Y151)))</f>
        <v/>
      </c>
      <c r="AA151" s="25">
        <f>IF($B151="","",$P151*$Z151)</f>
        <v/>
      </c>
      <c r="AB151" s="33">
        <f>IF($B151="","",$P151-$AA151)</f>
        <v/>
      </c>
      <c r="AC151" s="21" t="n"/>
      <c r="AD151" s="33">
        <f>IF($B151="","",$M151*(1+IF(ISNUMBER($AC151),$AC151,0)))</f>
        <v/>
      </c>
      <c r="AE151" s="33">
        <f>IF($B151="","",$AD151*$O151)</f>
        <v/>
      </c>
      <c r="AF151" s="14">
        <f>IF($B151="","",IF($D151=CashLabel,"",SUMIFS($AE$5:$AE$204,$B$5:$B$204,$B151,$D$5:$D$204,"&lt;&gt;"&amp;CashLabel)/ConcDenomStr))</f>
        <v/>
      </c>
      <c r="AG151" s="14">
        <f>IF($B151="","",IF($D151=CashLabel,"",SUMIFS($AE$5:$AE$204,$E$5:$E$204,$E151,$D$5:$D$204,"&lt;&gt;"&amp;CashLabel)/ConcDenomStr))</f>
        <v/>
      </c>
      <c r="AH151" s="14">
        <f>IF($B151="","",IF($D151=CashLabel,"",SUMIFS($AE$5:$AE$204,$F$5:$F$204,$F151,$D$5:$D$204,"&lt;&gt;"&amp;CashLabel)/ConcDenomStr))</f>
        <v/>
      </c>
      <c r="AI151" s="14">
        <f>IF($B151="","",IF($D151=CashLabel,"",SUMIFS($AE$5:$AE$204,$D$5:$D$204,$D151,$D$5:$D$204,"&lt;&gt;"&amp;CashLabel)/ConcDenomStr))</f>
        <v/>
      </c>
      <c r="AJ151" s="15">
        <f>IF($B151="","",IF($D151=CashLabel,1,MIN(IF($AF151&gt;ThrSingle,ThrSingle/$AF151,1),IF($AG151&gt;ThrIssuer,ThrIssuer/$AG151,1),IF($AH151&gt;IFERROR(VLOOKUP($F151,CountryThr,2,FALSE),DefThrCountry),IFERROR(VLOOKUP($F151,CountryThr,2,FALSE),DefThrCountry)/$AH151,1),IF($AI151&gt;IFERROR(VLOOKUP($D151,LVTable,3,FALSE),DefThrAsset),IFERROR(VLOOKUP($D151,LVTable,3,FALSE),DefThrAsset)/$AI151,1))))</f>
        <v/>
      </c>
      <c r="AK151" s="33">
        <f>IF($B151="","",$AE151*$AJ151)</f>
        <v/>
      </c>
    </row>
    <row r="152">
      <c r="A152" s="16">
        <f>IF($B152="","",ROW()-4)</f>
        <v/>
      </c>
      <c r="B152" s="20" t="n"/>
      <c r="C152" s="20" t="n"/>
      <c r="D152" s="20" t="n"/>
      <c r="E152" s="20" t="n"/>
      <c r="F152" s="20" t="n"/>
      <c r="G152" s="20" t="n"/>
      <c r="H152" s="30" t="n"/>
      <c r="I152" s="30" t="n"/>
      <c r="J152" s="30" t="n"/>
      <c r="K152" s="31">
        <f>IF($B152="","",IF(ISNUMBER($J152),$J152,$I152))</f>
        <v/>
      </c>
      <c r="L152" s="32">
        <f>IF($B152="","",IFERROR(VLOOKUP($G152,FXRates,4,FALSE),1))</f>
        <v/>
      </c>
      <c r="M152" s="33">
        <f>IF($B152="","",$H152*$K152*$L152)</f>
        <v/>
      </c>
      <c r="N152" s="21" t="n"/>
      <c r="O152" s="14">
        <f>IF($B152="","",IF($D152=CashLabel,IF(ISNUMBER($N152),$N152,1),MIN(IF(ISNUMBER($N152),$N152,IFERROR(VLOOKUP($D152,LVTable,2,FALSE),0)),LVCap)))</f>
        <v/>
      </c>
      <c r="P152" s="25">
        <f>IF($B152="","",$M152*$O152)</f>
        <v/>
      </c>
      <c r="Q152" s="16">
        <f>IF($B152="","",IFERROR(VLOOKUP($G152,FXRates,5,FALSE),$G152))</f>
        <v/>
      </c>
      <c r="R152" s="14">
        <f>IF($B152="","",IF($D152=CashLabel,"",SUMIFS($P$5:$P$204,$B$5:$B$204,$B152,$D$5:$D$204,"&lt;&gt;"&amp;CashLabel)/ConcDenom))</f>
        <v/>
      </c>
      <c r="S152" s="14">
        <f>IF($B152="","",IF($D152=CashLabel,"",SUMIFS($P$5:$P$204,$E$5:$E$204,$E152,$D$5:$D$204,"&lt;&gt;"&amp;CashLabel)/ConcDenom))</f>
        <v/>
      </c>
      <c r="T152" s="14">
        <f>IF($B152="","",IF($D152=CashLabel,"",SUMIFS($P$5:$P$204,$F$5:$F$204,$F152,$D$5:$D$204,"&lt;&gt;"&amp;CashLabel)/ConcDenom))</f>
        <v/>
      </c>
      <c r="U152" s="14">
        <f>IF($B152="","",IF($D152=CashLabel,"",SUMIFS($P$5:$P$204,$D$5:$D$204,$D152,$D$5:$D$204,"&lt;&gt;"&amp;CashLabel)/ConcDenom))</f>
        <v/>
      </c>
      <c r="V152" s="15">
        <f>IF($B152="","",IF($D152=CashLabel,1,IF($R152&gt;ThrSingle,ThrSingle/$R152,1)))</f>
        <v/>
      </c>
      <c r="W152" s="15">
        <f>IF($B152="","",IF($D152=CashLabel,1,IF($S152&gt;ThrIssuer,ThrIssuer/$S152,1)))</f>
        <v/>
      </c>
      <c r="X152" s="15">
        <f>IF($B152="","",IF($D152=CashLabel,1,IF($T152&gt;IFERROR(VLOOKUP($F152,CountryThr,2,FALSE),DefThrCountry),IFERROR(VLOOKUP($F152,CountryThr,2,FALSE),DefThrCountry)/$T152,1)))</f>
        <v/>
      </c>
      <c r="Y152" s="15">
        <f>IF($B152="","",IF($D152=CashLabel,1,IF($U152&gt;IFERROR(VLOOKUP($D152,LVTable,3,FALSE),DefThrAsset),IFERROR(VLOOKUP($D152,LVTable,3,FALSE),DefThrAsset)/$U152,1)))</f>
        <v/>
      </c>
      <c r="Z152" s="34">
        <f>IF($B152="","",IF($D152=CashLabel,1,MIN($V152:$Y152)))</f>
        <v/>
      </c>
      <c r="AA152" s="25">
        <f>IF($B152="","",$P152*$Z152)</f>
        <v/>
      </c>
      <c r="AB152" s="33">
        <f>IF($B152="","",$P152-$AA152)</f>
        <v/>
      </c>
      <c r="AC152" s="21" t="n"/>
      <c r="AD152" s="33">
        <f>IF($B152="","",$M152*(1+IF(ISNUMBER($AC152),$AC152,0)))</f>
        <v/>
      </c>
      <c r="AE152" s="33">
        <f>IF($B152="","",$AD152*$O152)</f>
        <v/>
      </c>
      <c r="AF152" s="14">
        <f>IF($B152="","",IF($D152=CashLabel,"",SUMIFS($AE$5:$AE$204,$B$5:$B$204,$B152,$D$5:$D$204,"&lt;&gt;"&amp;CashLabel)/ConcDenomStr))</f>
        <v/>
      </c>
      <c r="AG152" s="14">
        <f>IF($B152="","",IF($D152=CashLabel,"",SUMIFS($AE$5:$AE$204,$E$5:$E$204,$E152,$D$5:$D$204,"&lt;&gt;"&amp;CashLabel)/ConcDenomStr))</f>
        <v/>
      </c>
      <c r="AH152" s="14">
        <f>IF($B152="","",IF($D152=CashLabel,"",SUMIFS($AE$5:$AE$204,$F$5:$F$204,$F152,$D$5:$D$204,"&lt;&gt;"&amp;CashLabel)/ConcDenomStr))</f>
        <v/>
      </c>
      <c r="AI152" s="14">
        <f>IF($B152="","",IF($D152=CashLabel,"",SUMIFS($AE$5:$AE$204,$D$5:$D$204,$D152,$D$5:$D$204,"&lt;&gt;"&amp;CashLabel)/ConcDenomStr))</f>
        <v/>
      </c>
      <c r="AJ152" s="15">
        <f>IF($B152="","",IF($D152=CashLabel,1,MIN(IF($AF152&gt;ThrSingle,ThrSingle/$AF152,1),IF($AG152&gt;ThrIssuer,ThrIssuer/$AG152,1),IF($AH152&gt;IFERROR(VLOOKUP($F152,CountryThr,2,FALSE),DefThrCountry),IFERROR(VLOOKUP($F152,CountryThr,2,FALSE),DefThrCountry)/$AH152,1),IF($AI152&gt;IFERROR(VLOOKUP($D152,LVTable,3,FALSE),DefThrAsset),IFERROR(VLOOKUP($D152,LVTable,3,FALSE),DefThrAsset)/$AI152,1))))</f>
        <v/>
      </c>
      <c r="AK152" s="33">
        <f>IF($B152="","",$AE152*$AJ152)</f>
        <v/>
      </c>
    </row>
    <row r="153">
      <c r="A153" s="16">
        <f>IF($B153="","",ROW()-4)</f>
        <v/>
      </c>
      <c r="B153" s="20" t="n"/>
      <c r="C153" s="20" t="n"/>
      <c r="D153" s="20" t="n"/>
      <c r="E153" s="20" t="n"/>
      <c r="F153" s="20" t="n"/>
      <c r="G153" s="20" t="n"/>
      <c r="H153" s="30" t="n"/>
      <c r="I153" s="30" t="n"/>
      <c r="J153" s="30" t="n"/>
      <c r="K153" s="31">
        <f>IF($B153="","",IF(ISNUMBER($J153),$J153,$I153))</f>
        <v/>
      </c>
      <c r="L153" s="32">
        <f>IF($B153="","",IFERROR(VLOOKUP($G153,FXRates,4,FALSE),1))</f>
        <v/>
      </c>
      <c r="M153" s="33">
        <f>IF($B153="","",$H153*$K153*$L153)</f>
        <v/>
      </c>
      <c r="N153" s="21" t="n"/>
      <c r="O153" s="14">
        <f>IF($B153="","",IF($D153=CashLabel,IF(ISNUMBER($N153),$N153,1),MIN(IF(ISNUMBER($N153),$N153,IFERROR(VLOOKUP($D153,LVTable,2,FALSE),0)),LVCap)))</f>
        <v/>
      </c>
      <c r="P153" s="25">
        <f>IF($B153="","",$M153*$O153)</f>
        <v/>
      </c>
      <c r="Q153" s="16">
        <f>IF($B153="","",IFERROR(VLOOKUP($G153,FXRates,5,FALSE),$G153))</f>
        <v/>
      </c>
      <c r="R153" s="14">
        <f>IF($B153="","",IF($D153=CashLabel,"",SUMIFS($P$5:$P$204,$B$5:$B$204,$B153,$D$5:$D$204,"&lt;&gt;"&amp;CashLabel)/ConcDenom))</f>
        <v/>
      </c>
      <c r="S153" s="14">
        <f>IF($B153="","",IF($D153=CashLabel,"",SUMIFS($P$5:$P$204,$E$5:$E$204,$E153,$D$5:$D$204,"&lt;&gt;"&amp;CashLabel)/ConcDenom))</f>
        <v/>
      </c>
      <c r="T153" s="14">
        <f>IF($B153="","",IF($D153=CashLabel,"",SUMIFS($P$5:$P$204,$F$5:$F$204,$F153,$D$5:$D$204,"&lt;&gt;"&amp;CashLabel)/ConcDenom))</f>
        <v/>
      </c>
      <c r="U153" s="14">
        <f>IF($B153="","",IF($D153=CashLabel,"",SUMIFS($P$5:$P$204,$D$5:$D$204,$D153,$D$5:$D$204,"&lt;&gt;"&amp;CashLabel)/ConcDenom))</f>
        <v/>
      </c>
      <c r="V153" s="15">
        <f>IF($B153="","",IF($D153=CashLabel,1,IF($R153&gt;ThrSingle,ThrSingle/$R153,1)))</f>
        <v/>
      </c>
      <c r="W153" s="15">
        <f>IF($B153="","",IF($D153=CashLabel,1,IF($S153&gt;ThrIssuer,ThrIssuer/$S153,1)))</f>
        <v/>
      </c>
      <c r="X153" s="15">
        <f>IF($B153="","",IF($D153=CashLabel,1,IF($T153&gt;IFERROR(VLOOKUP($F153,CountryThr,2,FALSE),DefThrCountry),IFERROR(VLOOKUP($F153,CountryThr,2,FALSE),DefThrCountry)/$T153,1)))</f>
        <v/>
      </c>
      <c r="Y153" s="15">
        <f>IF($B153="","",IF($D153=CashLabel,1,IF($U153&gt;IFERROR(VLOOKUP($D153,LVTable,3,FALSE),DefThrAsset),IFERROR(VLOOKUP($D153,LVTable,3,FALSE),DefThrAsset)/$U153,1)))</f>
        <v/>
      </c>
      <c r="Z153" s="34">
        <f>IF($B153="","",IF($D153=CashLabel,1,MIN($V153:$Y153)))</f>
        <v/>
      </c>
      <c r="AA153" s="25">
        <f>IF($B153="","",$P153*$Z153)</f>
        <v/>
      </c>
      <c r="AB153" s="33">
        <f>IF($B153="","",$P153-$AA153)</f>
        <v/>
      </c>
      <c r="AC153" s="21" t="n"/>
      <c r="AD153" s="33">
        <f>IF($B153="","",$M153*(1+IF(ISNUMBER($AC153),$AC153,0)))</f>
        <v/>
      </c>
      <c r="AE153" s="33">
        <f>IF($B153="","",$AD153*$O153)</f>
        <v/>
      </c>
      <c r="AF153" s="14">
        <f>IF($B153="","",IF($D153=CashLabel,"",SUMIFS($AE$5:$AE$204,$B$5:$B$204,$B153,$D$5:$D$204,"&lt;&gt;"&amp;CashLabel)/ConcDenomStr))</f>
        <v/>
      </c>
      <c r="AG153" s="14">
        <f>IF($B153="","",IF($D153=CashLabel,"",SUMIFS($AE$5:$AE$204,$E$5:$E$204,$E153,$D$5:$D$204,"&lt;&gt;"&amp;CashLabel)/ConcDenomStr))</f>
        <v/>
      </c>
      <c r="AH153" s="14">
        <f>IF($B153="","",IF($D153=CashLabel,"",SUMIFS($AE$5:$AE$204,$F$5:$F$204,$F153,$D$5:$D$204,"&lt;&gt;"&amp;CashLabel)/ConcDenomStr))</f>
        <v/>
      </c>
      <c r="AI153" s="14">
        <f>IF($B153="","",IF($D153=CashLabel,"",SUMIFS($AE$5:$AE$204,$D$5:$D$204,$D153,$D$5:$D$204,"&lt;&gt;"&amp;CashLabel)/ConcDenomStr))</f>
        <v/>
      </c>
      <c r="AJ153" s="15">
        <f>IF($B153="","",IF($D153=CashLabel,1,MIN(IF($AF153&gt;ThrSingle,ThrSingle/$AF153,1),IF($AG153&gt;ThrIssuer,ThrIssuer/$AG153,1),IF($AH153&gt;IFERROR(VLOOKUP($F153,CountryThr,2,FALSE),DefThrCountry),IFERROR(VLOOKUP($F153,CountryThr,2,FALSE),DefThrCountry)/$AH153,1),IF($AI153&gt;IFERROR(VLOOKUP($D153,LVTable,3,FALSE),DefThrAsset),IFERROR(VLOOKUP($D153,LVTable,3,FALSE),DefThrAsset)/$AI153,1))))</f>
        <v/>
      </c>
      <c r="AK153" s="33">
        <f>IF($B153="","",$AE153*$AJ153)</f>
        <v/>
      </c>
    </row>
    <row r="154">
      <c r="A154" s="16">
        <f>IF($B154="","",ROW()-4)</f>
        <v/>
      </c>
      <c r="B154" s="20" t="n"/>
      <c r="C154" s="20" t="n"/>
      <c r="D154" s="20" t="n"/>
      <c r="E154" s="20" t="n"/>
      <c r="F154" s="20" t="n"/>
      <c r="G154" s="20" t="n"/>
      <c r="H154" s="30" t="n"/>
      <c r="I154" s="30" t="n"/>
      <c r="J154" s="30" t="n"/>
      <c r="K154" s="31">
        <f>IF($B154="","",IF(ISNUMBER($J154),$J154,$I154))</f>
        <v/>
      </c>
      <c r="L154" s="32">
        <f>IF($B154="","",IFERROR(VLOOKUP($G154,FXRates,4,FALSE),1))</f>
        <v/>
      </c>
      <c r="M154" s="33">
        <f>IF($B154="","",$H154*$K154*$L154)</f>
        <v/>
      </c>
      <c r="N154" s="21" t="n"/>
      <c r="O154" s="14">
        <f>IF($B154="","",IF($D154=CashLabel,IF(ISNUMBER($N154),$N154,1),MIN(IF(ISNUMBER($N154),$N154,IFERROR(VLOOKUP($D154,LVTable,2,FALSE),0)),LVCap)))</f>
        <v/>
      </c>
      <c r="P154" s="25">
        <f>IF($B154="","",$M154*$O154)</f>
        <v/>
      </c>
      <c r="Q154" s="16">
        <f>IF($B154="","",IFERROR(VLOOKUP($G154,FXRates,5,FALSE),$G154))</f>
        <v/>
      </c>
      <c r="R154" s="14">
        <f>IF($B154="","",IF($D154=CashLabel,"",SUMIFS($P$5:$P$204,$B$5:$B$204,$B154,$D$5:$D$204,"&lt;&gt;"&amp;CashLabel)/ConcDenom))</f>
        <v/>
      </c>
      <c r="S154" s="14">
        <f>IF($B154="","",IF($D154=CashLabel,"",SUMIFS($P$5:$P$204,$E$5:$E$204,$E154,$D$5:$D$204,"&lt;&gt;"&amp;CashLabel)/ConcDenom))</f>
        <v/>
      </c>
      <c r="T154" s="14">
        <f>IF($B154="","",IF($D154=CashLabel,"",SUMIFS($P$5:$P$204,$F$5:$F$204,$F154,$D$5:$D$204,"&lt;&gt;"&amp;CashLabel)/ConcDenom))</f>
        <v/>
      </c>
      <c r="U154" s="14">
        <f>IF($B154="","",IF($D154=CashLabel,"",SUMIFS($P$5:$P$204,$D$5:$D$204,$D154,$D$5:$D$204,"&lt;&gt;"&amp;CashLabel)/ConcDenom))</f>
        <v/>
      </c>
      <c r="V154" s="15">
        <f>IF($B154="","",IF($D154=CashLabel,1,IF($R154&gt;ThrSingle,ThrSingle/$R154,1)))</f>
        <v/>
      </c>
      <c r="W154" s="15">
        <f>IF($B154="","",IF($D154=CashLabel,1,IF($S154&gt;ThrIssuer,ThrIssuer/$S154,1)))</f>
        <v/>
      </c>
      <c r="X154" s="15">
        <f>IF($B154="","",IF($D154=CashLabel,1,IF($T154&gt;IFERROR(VLOOKUP($F154,CountryThr,2,FALSE),DefThrCountry),IFERROR(VLOOKUP($F154,CountryThr,2,FALSE),DefThrCountry)/$T154,1)))</f>
        <v/>
      </c>
      <c r="Y154" s="15">
        <f>IF($B154="","",IF($D154=CashLabel,1,IF($U154&gt;IFERROR(VLOOKUP($D154,LVTable,3,FALSE),DefThrAsset),IFERROR(VLOOKUP($D154,LVTable,3,FALSE),DefThrAsset)/$U154,1)))</f>
        <v/>
      </c>
      <c r="Z154" s="34">
        <f>IF($B154="","",IF($D154=CashLabel,1,MIN($V154:$Y154)))</f>
        <v/>
      </c>
      <c r="AA154" s="25">
        <f>IF($B154="","",$P154*$Z154)</f>
        <v/>
      </c>
      <c r="AB154" s="33">
        <f>IF($B154="","",$P154-$AA154)</f>
        <v/>
      </c>
      <c r="AC154" s="21" t="n"/>
      <c r="AD154" s="33">
        <f>IF($B154="","",$M154*(1+IF(ISNUMBER($AC154),$AC154,0)))</f>
        <v/>
      </c>
      <c r="AE154" s="33">
        <f>IF($B154="","",$AD154*$O154)</f>
        <v/>
      </c>
      <c r="AF154" s="14">
        <f>IF($B154="","",IF($D154=CashLabel,"",SUMIFS($AE$5:$AE$204,$B$5:$B$204,$B154,$D$5:$D$204,"&lt;&gt;"&amp;CashLabel)/ConcDenomStr))</f>
        <v/>
      </c>
      <c r="AG154" s="14">
        <f>IF($B154="","",IF($D154=CashLabel,"",SUMIFS($AE$5:$AE$204,$E$5:$E$204,$E154,$D$5:$D$204,"&lt;&gt;"&amp;CashLabel)/ConcDenomStr))</f>
        <v/>
      </c>
      <c r="AH154" s="14">
        <f>IF($B154="","",IF($D154=CashLabel,"",SUMIFS($AE$5:$AE$204,$F$5:$F$204,$F154,$D$5:$D$204,"&lt;&gt;"&amp;CashLabel)/ConcDenomStr))</f>
        <v/>
      </c>
      <c r="AI154" s="14">
        <f>IF($B154="","",IF($D154=CashLabel,"",SUMIFS($AE$5:$AE$204,$D$5:$D$204,$D154,$D$5:$D$204,"&lt;&gt;"&amp;CashLabel)/ConcDenomStr))</f>
        <v/>
      </c>
      <c r="AJ154" s="15">
        <f>IF($B154="","",IF($D154=CashLabel,1,MIN(IF($AF154&gt;ThrSingle,ThrSingle/$AF154,1),IF($AG154&gt;ThrIssuer,ThrIssuer/$AG154,1),IF($AH154&gt;IFERROR(VLOOKUP($F154,CountryThr,2,FALSE),DefThrCountry),IFERROR(VLOOKUP($F154,CountryThr,2,FALSE),DefThrCountry)/$AH154,1),IF($AI154&gt;IFERROR(VLOOKUP($D154,LVTable,3,FALSE),DefThrAsset),IFERROR(VLOOKUP($D154,LVTable,3,FALSE),DefThrAsset)/$AI154,1))))</f>
        <v/>
      </c>
      <c r="AK154" s="33">
        <f>IF($B154="","",$AE154*$AJ154)</f>
        <v/>
      </c>
    </row>
    <row r="155">
      <c r="A155" s="16">
        <f>IF($B155="","",ROW()-4)</f>
        <v/>
      </c>
      <c r="B155" s="20" t="n"/>
      <c r="C155" s="20" t="n"/>
      <c r="D155" s="20" t="n"/>
      <c r="E155" s="20" t="n"/>
      <c r="F155" s="20" t="n"/>
      <c r="G155" s="20" t="n"/>
      <c r="H155" s="30" t="n"/>
      <c r="I155" s="30" t="n"/>
      <c r="J155" s="30" t="n"/>
      <c r="K155" s="31">
        <f>IF($B155="","",IF(ISNUMBER($J155),$J155,$I155))</f>
        <v/>
      </c>
      <c r="L155" s="32">
        <f>IF($B155="","",IFERROR(VLOOKUP($G155,FXRates,4,FALSE),1))</f>
        <v/>
      </c>
      <c r="M155" s="33">
        <f>IF($B155="","",$H155*$K155*$L155)</f>
        <v/>
      </c>
      <c r="N155" s="21" t="n"/>
      <c r="O155" s="14">
        <f>IF($B155="","",IF($D155=CashLabel,IF(ISNUMBER($N155),$N155,1),MIN(IF(ISNUMBER($N155),$N155,IFERROR(VLOOKUP($D155,LVTable,2,FALSE),0)),LVCap)))</f>
        <v/>
      </c>
      <c r="P155" s="25">
        <f>IF($B155="","",$M155*$O155)</f>
        <v/>
      </c>
      <c r="Q155" s="16">
        <f>IF($B155="","",IFERROR(VLOOKUP($G155,FXRates,5,FALSE),$G155))</f>
        <v/>
      </c>
      <c r="R155" s="14">
        <f>IF($B155="","",IF($D155=CashLabel,"",SUMIFS($P$5:$P$204,$B$5:$B$204,$B155,$D$5:$D$204,"&lt;&gt;"&amp;CashLabel)/ConcDenom))</f>
        <v/>
      </c>
      <c r="S155" s="14">
        <f>IF($B155="","",IF($D155=CashLabel,"",SUMIFS($P$5:$P$204,$E$5:$E$204,$E155,$D$5:$D$204,"&lt;&gt;"&amp;CashLabel)/ConcDenom))</f>
        <v/>
      </c>
      <c r="T155" s="14">
        <f>IF($B155="","",IF($D155=CashLabel,"",SUMIFS($P$5:$P$204,$F$5:$F$204,$F155,$D$5:$D$204,"&lt;&gt;"&amp;CashLabel)/ConcDenom))</f>
        <v/>
      </c>
      <c r="U155" s="14">
        <f>IF($B155="","",IF($D155=CashLabel,"",SUMIFS($P$5:$P$204,$D$5:$D$204,$D155,$D$5:$D$204,"&lt;&gt;"&amp;CashLabel)/ConcDenom))</f>
        <v/>
      </c>
      <c r="V155" s="15">
        <f>IF($B155="","",IF($D155=CashLabel,1,IF($R155&gt;ThrSingle,ThrSingle/$R155,1)))</f>
        <v/>
      </c>
      <c r="W155" s="15">
        <f>IF($B155="","",IF($D155=CashLabel,1,IF($S155&gt;ThrIssuer,ThrIssuer/$S155,1)))</f>
        <v/>
      </c>
      <c r="X155" s="15">
        <f>IF($B155="","",IF($D155=CashLabel,1,IF($T155&gt;IFERROR(VLOOKUP($F155,CountryThr,2,FALSE),DefThrCountry),IFERROR(VLOOKUP($F155,CountryThr,2,FALSE),DefThrCountry)/$T155,1)))</f>
        <v/>
      </c>
      <c r="Y155" s="15">
        <f>IF($B155="","",IF($D155=CashLabel,1,IF($U155&gt;IFERROR(VLOOKUP($D155,LVTable,3,FALSE),DefThrAsset),IFERROR(VLOOKUP($D155,LVTable,3,FALSE),DefThrAsset)/$U155,1)))</f>
        <v/>
      </c>
      <c r="Z155" s="34">
        <f>IF($B155="","",IF($D155=CashLabel,1,MIN($V155:$Y155)))</f>
        <v/>
      </c>
      <c r="AA155" s="25">
        <f>IF($B155="","",$P155*$Z155)</f>
        <v/>
      </c>
      <c r="AB155" s="33">
        <f>IF($B155="","",$P155-$AA155)</f>
        <v/>
      </c>
      <c r="AC155" s="21" t="n"/>
      <c r="AD155" s="33">
        <f>IF($B155="","",$M155*(1+IF(ISNUMBER($AC155),$AC155,0)))</f>
        <v/>
      </c>
      <c r="AE155" s="33">
        <f>IF($B155="","",$AD155*$O155)</f>
        <v/>
      </c>
      <c r="AF155" s="14">
        <f>IF($B155="","",IF($D155=CashLabel,"",SUMIFS($AE$5:$AE$204,$B$5:$B$204,$B155,$D$5:$D$204,"&lt;&gt;"&amp;CashLabel)/ConcDenomStr))</f>
        <v/>
      </c>
      <c r="AG155" s="14">
        <f>IF($B155="","",IF($D155=CashLabel,"",SUMIFS($AE$5:$AE$204,$E$5:$E$204,$E155,$D$5:$D$204,"&lt;&gt;"&amp;CashLabel)/ConcDenomStr))</f>
        <v/>
      </c>
      <c r="AH155" s="14">
        <f>IF($B155="","",IF($D155=CashLabel,"",SUMIFS($AE$5:$AE$204,$F$5:$F$204,$F155,$D$5:$D$204,"&lt;&gt;"&amp;CashLabel)/ConcDenomStr))</f>
        <v/>
      </c>
      <c r="AI155" s="14">
        <f>IF($B155="","",IF($D155=CashLabel,"",SUMIFS($AE$5:$AE$204,$D$5:$D$204,$D155,$D$5:$D$204,"&lt;&gt;"&amp;CashLabel)/ConcDenomStr))</f>
        <v/>
      </c>
      <c r="AJ155" s="15">
        <f>IF($B155="","",IF($D155=CashLabel,1,MIN(IF($AF155&gt;ThrSingle,ThrSingle/$AF155,1),IF($AG155&gt;ThrIssuer,ThrIssuer/$AG155,1),IF($AH155&gt;IFERROR(VLOOKUP($F155,CountryThr,2,FALSE),DefThrCountry),IFERROR(VLOOKUP($F155,CountryThr,2,FALSE),DefThrCountry)/$AH155,1),IF($AI155&gt;IFERROR(VLOOKUP($D155,LVTable,3,FALSE),DefThrAsset),IFERROR(VLOOKUP($D155,LVTable,3,FALSE),DefThrAsset)/$AI155,1))))</f>
        <v/>
      </c>
      <c r="AK155" s="33">
        <f>IF($B155="","",$AE155*$AJ155)</f>
        <v/>
      </c>
    </row>
    <row r="156">
      <c r="A156" s="16">
        <f>IF($B156="","",ROW()-4)</f>
        <v/>
      </c>
      <c r="B156" s="20" t="n"/>
      <c r="C156" s="20" t="n"/>
      <c r="D156" s="20" t="n"/>
      <c r="E156" s="20" t="n"/>
      <c r="F156" s="20" t="n"/>
      <c r="G156" s="20" t="n"/>
      <c r="H156" s="30" t="n"/>
      <c r="I156" s="30" t="n"/>
      <c r="J156" s="30" t="n"/>
      <c r="K156" s="31">
        <f>IF($B156="","",IF(ISNUMBER($J156),$J156,$I156))</f>
        <v/>
      </c>
      <c r="L156" s="32">
        <f>IF($B156="","",IFERROR(VLOOKUP($G156,FXRates,4,FALSE),1))</f>
        <v/>
      </c>
      <c r="M156" s="33">
        <f>IF($B156="","",$H156*$K156*$L156)</f>
        <v/>
      </c>
      <c r="N156" s="21" t="n"/>
      <c r="O156" s="14">
        <f>IF($B156="","",IF($D156=CashLabel,IF(ISNUMBER($N156),$N156,1),MIN(IF(ISNUMBER($N156),$N156,IFERROR(VLOOKUP($D156,LVTable,2,FALSE),0)),LVCap)))</f>
        <v/>
      </c>
      <c r="P156" s="25">
        <f>IF($B156="","",$M156*$O156)</f>
        <v/>
      </c>
      <c r="Q156" s="16">
        <f>IF($B156="","",IFERROR(VLOOKUP($G156,FXRates,5,FALSE),$G156))</f>
        <v/>
      </c>
      <c r="R156" s="14">
        <f>IF($B156="","",IF($D156=CashLabel,"",SUMIFS($P$5:$P$204,$B$5:$B$204,$B156,$D$5:$D$204,"&lt;&gt;"&amp;CashLabel)/ConcDenom))</f>
        <v/>
      </c>
      <c r="S156" s="14">
        <f>IF($B156="","",IF($D156=CashLabel,"",SUMIFS($P$5:$P$204,$E$5:$E$204,$E156,$D$5:$D$204,"&lt;&gt;"&amp;CashLabel)/ConcDenom))</f>
        <v/>
      </c>
      <c r="T156" s="14">
        <f>IF($B156="","",IF($D156=CashLabel,"",SUMIFS($P$5:$P$204,$F$5:$F$204,$F156,$D$5:$D$204,"&lt;&gt;"&amp;CashLabel)/ConcDenom))</f>
        <v/>
      </c>
      <c r="U156" s="14">
        <f>IF($B156="","",IF($D156=CashLabel,"",SUMIFS($P$5:$P$204,$D$5:$D$204,$D156,$D$5:$D$204,"&lt;&gt;"&amp;CashLabel)/ConcDenom))</f>
        <v/>
      </c>
      <c r="V156" s="15">
        <f>IF($B156="","",IF($D156=CashLabel,1,IF($R156&gt;ThrSingle,ThrSingle/$R156,1)))</f>
        <v/>
      </c>
      <c r="W156" s="15">
        <f>IF($B156="","",IF($D156=CashLabel,1,IF($S156&gt;ThrIssuer,ThrIssuer/$S156,1)))</f>
        <v/>
      </c>
      <c r="X156" s="15">
        <f>IF($B156="","",IF($D156=CashLabel,1,IF($T156&gt;IFERROR(VLOOKUP($F156,CountryThr,2,FALSE),DefThrCountry),IFERROR(VLOOKUP($F156,CountryThr,2,FALSE),DefThrCountry)/$T156,1)))</f>
        <v/>
      </c>
      <c r="Y156" s="15">
        <f>IF($B156="","",IF($D156=CashLabel,1,IF($U156&gt;IFERROR(VLOOKUP($D156,LVTable,3,FALSE),DefThrAsset),IFERROR(VLOOKUP($D156,LVTable,3,FALSE),DefThrAsset)/$U156,1)))</f>
        <v/>
      </c>
      <c r="Z156" s="34">
        <f>IF($B156="","",IF($D156=CashLabel,1,MIN($V156:$Y156)))</f>
        <v/>
      </c>
      <c r="AA156" s="25">
        <f>IF($B156="","",$P156*$Z156)</f>
        <v/>
      </c>
      <c r="AB156" s="33">
        <f>IF($B156="","",$P156-$AA156)</f>
        <v/>
      </c>
      <c r="AC156" s="21" t="n"/>
      <c r="AD156" s="33">
        <f>IF($B156="","",$M156*(1+IF(ISNUMBER($AC156),$AC156,0)))</f>
        <v/>
      </c>
      <c r="AE156" s="33">
        <f>IF($B156="","",$AD156*$O156)</f>
        <v/>
      </c>
      <c r="AF156" s="14">
        <f>IF($B156="","",IF($D156=CashLabel,"",SUMIFS($AE$5:$AE$204,$B$5:$B$204,$B156,$D$5:$D$204,"&lt;&gt;"&amp;CashLabel)/ConcDenomStr))</f>
        <v/>
      </c>
      <c r="AG156" s="14">
        <f>IF($B156="","",IF($D156=CashLabel,"",SUMIFS($AE$5:$AE$204,$E$5:$E$204,$E156,$D$5:$D$204,"&lt;&gt;"&amp;CashLabel)/ConcDenomStr))</f>
        <v/>
      </c>
      <c r="AH156" s="14">
        <f>IF($B156="","",IF($D156=CashLabel,"",SUMIFS($AE$5:$AE$204,$F$5:$F$204,$F156,$D$5:$D$204,"&lt;&gt;"&amp;CashLabel)/ConcDenomStr))</f>
        <v/>
      </c>
      <c r="AI156" s="14">
        <f>IF($B156="","",IF($D156=CashLabel,"",SUMIFS($AE$5:$AE$204,$D$5:$D$204,$D156,$D$5:$D$204,"&lt;&gt;"&amp;CashLabel)/ConcDenomStr))</f>
        <v/>
      </c>
      <c r="AJ156" s="15">
        <f>IF($B156="","",IF($D156=CashLabel,1,MIN(IF($AF156&gt;ThrSingle,ThrSingle/$AF156,1),IF($AG156&gt;ThrIssuer,ThrIssuer/$AG156,1),IF($AH156&gt;IFERROR(VLOOKUP($F156,CountryThr,2,FALSE),DefThrCountry),IFERROR(VLOOKUP($F156,CountryThr,2,FALSE),DefThrCountry)/$AH156,1),IF($AI156&gt;IFERROR(VLOOKUP($D156,LVTable,3,FALSE),DefThrAsset),IFERROR(VLOOKUP($D156,LVTable,3,FALSE),DefThrAsset)/$AI156,1))))</f>
        <v/>
      </c>
      <c r="AK156" s="33">
        <f>IF($B156="","",$AE156*$AJ156)</f>
        <v/>
      </c>
    </row>
    <row r="157">
      <c r="A157" s="16">
        <f>IF($B157="","",ROW()-4)</f>
        <v/>
      </c>
      <c r="B157" s="20" t="n"/>
      <c r="C157" s="20" t="n"/>
      <c r="D157" s="20" t="n"/>
      <c r="E157" s="20" t="n"/>
      <c r="F157" s="20" t="n"/>
      <c r="G157" s="20" t="n"/>
      <c r="H157" s="30" t="n"/>
      <c r="I157" s="30" t="n"/>
      <c r="J157" s="30" t="n"/>
      <c r="K157" s="31">
        <f>IF($B157="","",IF(ISNUMBER($J157),$J157,$I157))</f>
        <v/>
      </c>
      <c r="L157" s="32">
        <f>IF($B157="","",IFERROR(VLOOKUP($G157,FXRates,4,FALSE),1))</f>
        <v/>
      </c>
      <c r="M157" s="33">
        <f>IF($B157="","",$H157*$K157*$L157)</f>
        <v/>
      </c>
      <c r="N157" s="21" t="n"/>
      <c r="O157" s="14">
        <f>IF($B157="","",IF($D157=CashLabel,IF(ISNUMBER($N157),$N157,1),MIN(IF(ISNUMBER($N157),$N157,IFERROR(VLOOKUP($D157,LVTable,2,FALSE),0)),LVCap)))</f>
        <v/>
      </c>
      <c r="P157" s="25">
        <f>IF($B157="","",$M157*$O157)</f>
        <v/>
      </c>
      <c r="Q157" s="16">
        <f>IF($B157="","",IFERROR(VLOOKUP($G157,FXRates,5,FALSE),$G157))</f>
        <v/>
      </c>
      <c r="R157" s="14">
        <f>IF($B157="","",IF($D157=CashLabel,"",SUMIFS($P$5:$P$204,$B$5:$B$204,$B157,$D$5:$D$204,"&lt;&gt;"&amp;CashLabel)/ConcDenom))</f>
        <v/>
      </c>
      <c r="S157" s="14">
        <f>IF($B157="","",IF($D157=CashLabel,"",SUMIFS($P$5:$P$204,$E$5:$E$204,$E157,$D$5:$D$204,"&lt;&gt;"&amp;CashLabel)/ConcDenom))</f>
        <v/>
      </c>
      <c r="T157" s="14">
        <f>IF($B157="","",IF($D157=CashLabel,"",SUMIFS($P$5:$P$204,$F$5:$F$204,$F157,$D$5:$D$204,"&lt;&gt;"&amp;CashLabel)/ConcDenom))</f>
        <v/>
      </c>
      <c r="U157" s="14">
        <f>IF($B157="","",IF($D157=CashLabel,"",SUMIFS($P$5:$P$204,$D$5:$D$204,$D157,$D$5:$D$204,"&lt;&gt;"&amp;CashLabel)/ConcDenom))</f>
        <v/>
      </c>
      <c r="V157" s="15">
        <f>IF($B157="","",IF($D157=CashLabel,1,IF($R157&gt;ThrSingle,ThrSingle/$R157,1)))</f>
        <v/>
      </c>
      <c r="W157" s="15">
        <f>IF($B157="","",IF($D157=CashLabel,1,IF($S157&gt;ThrIssuer,ThrIssuer/$S157,1)))</f>
        <v/>
      </c>
      <c r="X157" s="15">
        <f>IF($B157="","",IF($D157=CashLabel,1,IF($T157&gt;IFERROR(VLOOKUP($F157,CountryThr,2,FALSE),DefThrCountry),IFERROR(VLOOKUP($F157,CountryThr,2,FALSE),DefThrCountry)/$T157,1)))</f>
        <v/>
      </c>
      <c r="Y157" s="15">
        <f>IF($B157="","",IF($D157=CashLabel,1,IF($U157&gt;IFERROR(VLOOKUP($D157,LVTable,3,FALSE),DefThrAsset),IFERROR(VLOOKUP($D157,LVTable,3,FALSE),DefThrAsset)/$U157,1)))</f>
        <v/>
      </c>
      <c r="Z157" s="34">
        <f>IF($B157="","",IF($D157=CashLabel,1,MIN($V157:$Y157)))</f>
        <v/>
      </c>
      <c r="AA157" s="25">
        <f>IF($B157="","",$P157*$Z157)</f>
        <v/>
      </c>
      <c r="AB157" s="33">
        <f>IF($B157="","",$P157-$AA157)</f>
        <v/>
      </c>
      <c r="AC157" s="21" t="n"/>
      <c r="AD157" s="33">
        <f>IF($B157="","",$M157*(1+IF(ISNUMBER($AC157),$AC157,0)))</f>
        <v/>
      </c>
      <c r="AE157" s="33">
        <f>IF($B157="","",$AD157*$O157)</f>
        <v/>
      </c>
      <c r="AF157" s="14">
        <f>IF($B157="","",IF($D157=CashLabel,"",SUMIFS($AE$5:$AE$204,$B$5:$B$204,$B157,$D$5:$D$204,"&lt;&gt;"&amp;CashLabel)/ConcDenomStr))</f>
        <v/>
      </c>
      <c r="AG157" s="14">
        <f>IF($B157="","",IF($D157=CashLabel,"",SUMIFS($AE$5:$AE$204,$E$5:$E$204,$E157,$D$5:$D$204,"&lt;&gt;"&amp;CashLabel)/ConcDenomStr))</f>
        <v/>
      </c>
      <c r="AH157" s="14">
        <f>IF($B157="","",IF($D157=CashLabel,"",SUMIFS($AE$5:$AE$204,$F$5:$F$204,$F157,$D$5:$D$204,"&lt;&gt;"&amp;CashLabel)/ConcDenomStr))</f>
        <v/>
      </c>
      <c r="AI157" s="14">
        <f>IF($B157="","",IF($D157=CashLabel,"",SUMIFS($AE$5:$AE$204,$D$5:$D$204,$D157,$D$5:$D$204,"&lt;&gt;"&amp;CashLabel)/ConcDenomStr))</f>
        <v/>
      </c>
      <c r="AJ157" s="15">
        <f>IF($B157="","",IF($D157=CashLabel,1,MIN(IF($AF157&gt;ThrSingle,ThrSingle/$AF157,1),IF($AG157&gt;ThrIssuer,ThrIssuer/$AG157,1),IF($AH157&gt;IFERROR(VLOOKUP($F157,CountryThr,2,FALSE),DefThrCountry),IFERROR(VLOOKUP($F157,CountryThr,2,FALSE),DefThrCountry)/$AH157,1),IF($AI157&gt;IFERROR(VLOOKUP($D157,LVTable,3,FALSE),DefThrAsset),IFERROR(VLOOKUP($D157,LVTable,3,FALSE),DefThrAsset)/$AI157,1))))</f>
        <v/>
      </c>
      <c r="AK157" s="33">
        <f>IF($B157="","",$AE157*$AJ157)</f>
        <v/>
      </c>
    </row>
    <row r="158">
      <c r="A158" s="16">
        <f>IF($B158="","",ROW()-4)</f>
        <v/>
      </c>
      <c r="B158" s="20" t="n"/>
      <c r="C158" s="20" t="n"/>
      <c r="D158" s="20" t="n"/>
      <c r="E158" s="20" t="n"/>
      <c r="F158" s="20" t="n"/>
      <c r="G158" s="20" t="n"/>
      <c r="H158" s="30" t="n"/>
      <c r="I158" s="30" t="n"/>
      <c r="J158" s="30" t="n"/>
      <c r="K158" s="31">
        <f>IF($B158="","",IF(ISNUMBER($J158),$J158,$I158))</f>
        <v/>
      </c>
      <c r="L158" s="32">
        <f>IF($B158="","",IFERROR(VLOOKUP($G158,FXRates,4,FALSE),1))</f>
        <v/>
      </c>
      <c r="M158" s="33">
        <f>IF($B158="","",$H158*$K158*$L158)</f>
        <v/>
      </c>
      <c r="N158" s="21" t="n"/>
      <c r="O158" s="14">
        <f>IF($B158="","",IF($D158=CashLabel,IF(ISNUMBER($N158),$N158,1),MIN(IF(ISNUMBER($N158),$N158,IFERROR(VLOOKUP($D158,LVTable,2,FALSE),0)),LVCap)))</f>
        <v/>
      </c>
      <c r="P158" s="25">
        <f>IF($B158="","",$M158*$O158)</f>
        <v/>
      </c>
      <c r="Q158" s="16">
        <f>IF($B158="","",IFERROR(VLOOKUP($G158,FXRates,5,FALSE),$G158))</f>
        <v/>
      </c>
      <c r="R158" s="14">
        <f>IF($B158="","",IF($D158=CashLabel,"",SUMIFS($P$5:$P$204,$B$5:$B$204,$B158,$D$5:$D$204,"&lt;&gt;"&amp;CashLabel)/ConcDenom))</f>
        <v/>
      </c>
      <c r="S158" s="14">
        <f>IF($B158="","",IF($D158=CashLabel,"",SUMIFS($P$5:$P$204,$E$5:$E$204,$E158,$D$5:$D$204,"&lt;&gt;"&amp;CashLabel)/ConcDenom))</f>
        <v/>
      </c>
      <c r="T158" s="14">
        <f>IF($B158="","",IF($D158=CashLabel,"",SUMIFS($P$5:$P$204,$F$5:$F$204,$F158,$D$5:$D$204,"&lt;&gt;"&amp;CashLabel)/ConcDenom))</f>
        <v/>
      </c>
      <c r="U158" s="14">
        <f>IF($B158="","",IF($D158=CashLabel,"",SUMIFS($P$5:$P$204,$D$5:$D$204,$D158,$D$5:$D$204,"&lt;&gt;"&amp;CashLabel)/ConcDenom))</f>
        <v/>
      </c>
      <c r="V158" s="15">
        <f>IF($B158="","",IF($D158=CashLabel,1,IF($R158&gt;ThrSingle,ThrSingle/$R158,1)))</f>
        <v/>
      </c>
      <c r="W158" s="15">
        <f>IF($B158="","",IF($D158=CashLabel,1,IF($S158&gt;ThrIssuer,ThrIssuer/$S158,1)))</f>
        <v/>
      </c>
      <c r="X158" s="15">
        <f>IF($B158="","",IF($D158=CashLabel,1,IF($T158&gt;IFERROR(VLOOKUP($F158,CountryThr,2,FALSE),DefThrCountry),IFERROR(VLOOKUP($F158,CountryThr,2,FALSE),DefThrCountry)/$T158,1)))</f>
        <v/>
      </c>
      <c r="Y158" s="15">
        <f>IF($B158="","",IF($D158=CashLabel,1,IF($U158&gt;IFERROR(VLOOKUP($D158,LVTable,3,FALSE),DefThrAsset),IFERROR(VLOOKUP($D158,LVTable,3,FALSE),DefThrAsset)/$U158,1)))</f>
        <v/>
      </c>
      <c r="Z158" s="34">
        <f>IF($B158="","",IF($D158=CashLabel,1,MIN($V158:$Y158)))</f>
        <v/>
      </c>
      <c r="AA158" s="25">
        <f>IF($B158="","",$P158*$Z158)</f>
        <v/>
      </c>
      <c r="AB158" s="33">
        <f>IF($B158="","",$P158-$AA158)</f>
        <v/>
      </c>
      <c r="AC158" s="21" t="n"/>
      <c r="AD158" s="33">
        <f>IF($B158="","",$M158*(1+IF(ISNUMBER($AC158),$AC158,0)))</f>
        <v/>
      </c>
      <c r="AE158" s="33">
        <f>IF($B158="","",$AD158*$O158)</f>
        <v/>
      </c>
      <c r="AF158" s="14">
        <f>IF($B158="","",IF($D158=CashLabel,"",SUMIFS($AE$5:$AE$204,$B$5:$B$204,$B158,$D$5:$D$204,"&lt;&gt;"&amp;CashLabel)/ConcDenomStr))</f>
        <v/>
      </c>
      <c r="AG158" s="14">
        <f>IF($B158="","",IF($D158=CashLabel,"",SUMIFS($AE$5:$AE$204,$E$5:$E$204,$E158,$D$5:$D$204,"&lt;&gt;"&amp;CashLabel)/ConcDenomStr))</f>
        <v/>
      </c>
      <c r="AH158" s="14">
        <f>IF($B158="","",IF($D158=CashLabel,"",SUMIFS($AE$5:$AE$204,$F$5:$F$204,$F158,$D$5:$D$204,"&lt;&gt;"&amp;CashLabel)/ConcDenomStr))</f>
        <v/>
      </c>
      <c r="AI158" s="14">
        <f>IF($B158="","",IF($D158=CashLabel,"",SUMIFS($AE$5:$AE$204,$D$5:$D$204,$D158,$D$5:$D$204,"&lt;&gt;"&amp;CashLabel)/ConcDenomStr))</f>
        <v/>
      </c>
      <c r="AJ158" s="15">
        <f>IF($B158="","",IF($D158=CashLabel,1,MIN(IF($AF158&gt;ThrSingle,ThrSingle/$AF158,1),IF($AG158&gt;ThrIssuer,ThrIssuer/$AG158,1),IF($AH158&gt;IFERROR(VLOOKUP($F158,CountryThr,2,FALSE),DefThrCountry),IFERROR(VLOOKUP($F158,CountryThr,2,FALSE),DefThrCountry)/$AH158,1),IF($AI158&gt;IFERROR(VLOOKUP($D158,LVTable,3,FALSE),DefThrAsset),IFERROR(VLOOKUP($D158,LVTable,3,FALSE),DefThrAsset)/$AI158,1))))</f>
        <v/>
      </c>
      <c r="AK158" s="33">
        <f>IF($B158="","",$AE158*$AJ158)</f>
        <v/>
      </c>
    </row>
    <row r="159">
      <c r="A159" s="16">
        <f>IF($B159="","",ROW()-4)</f>
        <v/>
      </c>
      <c r="B159" s="20" t="n"/>
      <c r="C159" s="20" t="n"/>
      <c r="D159" s="20" t="n"/>
      <c r="E159" s="20" t="n"/>
      <c r="F159" s="20" t="n"/>
      <c r="G159" s="20" t="n"/>
      <c r="H159" s="30" t="n"/>
      <c r="I159" s="30" t="n"/>
      <c r="J159" s="30" t="n"/>
      <c r="K159" s="31">
        <f>IF($B159="","",IF(ISNUMBER($J159),$J159,$I159))</f>
        <v/>
      </c>
      <c r="L159" s="32">
        <f>IF($B159="","",IFERROR(VLOOKUP($G159,FXRates,4,FALSE),1))</f>
        <v/>
      </c>
      <c r="M159" s="33">
        <f>IF($B159="","",$H159*$K159*$L159)</f>
        <v/>
      </c>
      <c r="N159" s="21" t="n"/>
      <c r="O159" s="14">
        <f>IF($B159="","",IF($D159=CashLabel,IF(ISNUMBER($N159),$N159,1),MIN(IF(ISNUMBER($N159),$N159,IFERROR(VLOOKUP($D159,LVTable,2,FALSE),0)),LVCap)))</f>
        <v/>
      </c>
      <c r="P159" s="25">
        <f>IF($B159="","",$M159*$O159)</f>
        <v/>
      </c>
      <c r="Q159" s="16">
        <f>IF($B159="","",IFERROR(VLOOKUP($G159,FXRates,5,FALSE),$G159))</f>
        <v/>
      </c>
      <c r="R159" s="14">
        <f>IF($B159="","",IF($D159=CashLabel,"",SUMIFS($P$5:$P$204,$B$5:$B$204,$B159,$D$5:$D$204,"&lt;&gt;"&amp;CashLabel)/ConcDenom))</f>
        <v/>
      </c>
      <c r="S159" s="14">
        <f>IF($B159="","",IF($D159=CashLabel,"",SUMIFS($P$5:$P$204,$E$5:$E$204,$E159,$D$5:$D$204,"&lt;&gt;"&amp;CashLabel)/ConcDenom))</f>
        <v/>
      </c>
      <c r="T159" s="14">
        <f>IF($B159="","",IF($D159=CashLabel,"",SUMIFS($P$5:$P$204,$F$5:$F$204,$F159,$D$5:$D$204,"&lt;&gt;"&amp;CashLabel)/ConcDenom))</f>
        <v/>
      </c>
      <c r="U159" s="14">
        <f>IF($B159="","",IF($D159=CashLabel,"",SUMIFS($P$5:$P$204,$D$5:$D$204,$D159,$D$5:$D$204,"&lt;&gt;"&amp;CashLabel)/ConcDenom))</f>
        <v/>
      </c>
      <c r="V159" s="15">
        <f>IF($B159="","",IF($D159=CashLabel,1,IF($R159&gt;ThrSingle,ThrSingle/$R159,1)))</f>
        <v/>
      </c>
      <c r="W159" s="15">
        <f>IF($B159="","",IF($D159=CashLabel,1,IF($S159&gt;ThrIssuer,ThrIssuer/$S159,1)))</f>
        <v/>
      </c>
      <c r="X159" s="15">
        <f>IF($B159="","",IF($D159=CashLabel,1,IF($T159&gt;IFERROR(VLOOKUP($F159,CountryThr,2,FALSE),DefThrCountry),IFERROR(VLOOKUP($F159,CountryThr,2,FALSE),DefThrCountry)/$T159,1)))</f>
        <v/>
      </c>
      <c r="Y159" s="15">
        <f>IF($B159="","",IF($D159=CashLabel,1,IF($U159&gt;IFERROR(VLOOKUP($D159,LVTable,3,FALSE),DefThrAsset),IFERROR(VLOOKUP($D159,LVTable,3,FALSE),DefThrAsset)/$U159,1)))</f>
        <v/>
      </c>
      <c r="Z159" s="34">
        <f>IF($B159="","",IF($D159=CashLabel,1,MIN($V159:$Y159)))</f>
        <v/>
      </c>
      <c r="AA159" s="25">
        <f>IF($B159="","",$P159*$Z159)</f>
        <v/>
      </c>
      <c r="AB159" s="33">
        <f>IF($B159="","",$P159-$AA159)</f>
        <v/>
      </c>
      <c r="AC159" s="21" t="n"/>
      <c r="AD159" s="33">
        <f>IF($B159="","",$M159*(1+IF(ISNUMBER($AC159),$AC159,0)))</f>
        <v/>
      </c>
      <c r="AE159" s="33">
        <f>IF($B159="","",$AD159*$O159)</f>
        <v/>
      </c>
      <c r="AF159" s="14">
        <f>IF($B159="","",IF($D159=CashLabel,"",SUMIFS($AE$5:$AE$204,$B$5:$B$204,$B159,$D$5:$D$204,"&lt;&gt;"&amp;CashLabel)/ConcDenomStr))</f>
        <v/>
      </c>
      <c r="AG159" s="14">
        <f>IF($B159="","",IF($D159=CashLabel,"",SUMIFS($AE$5:$AE$204,$E$5:$E$204,$E159,$D$5:$D$204,"&lt;&gt;"&amp;CashLabel)/ConcDenomStr))</f>
        <v/>
      </c>
      <c r="AH159" s="14">
        <f>IF($B159="","",IF($D159=CashLabel,"",SUMIFS($AE$5:$AE$204,$F$5:$F$204,$F159,$D$5:$D$204,"&lt;&gt;"&amp;CashLabel)/ConcDenomStr))</f>
        <v/>
      </c>
      <c r="AI159" s="14">
        <f>IF($B159="","",IF($D159=CashLabel,"",SUMIFS($AE$5:$AE$204,$D$5:$D$204,$D159,$D$5:$D$204,"&lt;&gt;"&amp;CashLabel)/ConcDenomStr))</f>
        <v/>
      </c>
      <c r="AJ159" s="15">
        <f>IF($B159="","",IF($D159=CashLabel,1,MIN(IF($AF159&gt;ThrSingle,ThrSingle/$AF159,1),IF($AG159&gt;ThrIssuer,ThrIssuer/$AG159,1),IF($AH159&gt;IFERROR(VLOOKUP($F159,CountryThr,2,FALSE),DefThrCountry),IFERROR(VLOOKUP($F159,CountryThr,2,FALSE),DefThrCountry)/$AH159,1),IF($AI159&gt;IFERROR(VLOOKUP($D159,LVTable,3,FALSE),DefThrAsset),IFERROR(VLOOKUP($D159,LVTable,3,FALSE),DefThrAsset)/$AI159,1))))</f>
        <v/>
      </c>
      <c r="AK159" s="33">
        <f>IF($B159="","",$AE159*$AJ159)</f>
        <v/>
      </c>
    </row>
    <row r="160">
      <c r="A160" s="16">
        <f>IF($B160="","",ROW()-4)</f>
        <v/>
      </c>
      <c r="B160" s="20" t="n"/>
      <c r="C160" s="20" t="n"/>
      <c r="D160" s="20" t="n"/>
      <c r="E160" s="20" t="n"/>
      <c r="F160" s="20" t="n"/>
      <c r="G160" s="20" t="n"/>
      <c r="H160" s="30" t="n"/>
      <c r="I160" s="30" t="n"/>
      <c r="J160" s="30" t="n"/>
      <c r="K160" s="31">
        <f>IF($B160="","",IF(ISNUMBER($J160),$J160,$I160))</f>
        <v/>
      </c>
      <c r="L160" s="32">
        <f>IF($B160="","",IFERROR(VLOOKUP($G160,FXRates,4,FALSE),1))</f>
        <v/>
      </c>
      <c r="M160" s="33">
        <f>IF($B160="","",$H160*$K160*$L160)</f>
        <v/>
      </c>
      <c r="N160" s="21" t="n"/>
      <c r="O160" s="14">
        <f>IF($B160="","",IF($D160=CashLabel,IF(ISNUMBER($N160),$N160,1),MIN(IF(ISNUMBER($N160),$N160,IFERROR(VLOOKUP($D160,LVTable,2,FALSE),0)),LVCap)))</f>
        <v/>
      </c>
      <c r="P160" s="25">
        <f>IF($B160="","",$M160*$O160)</f>
        <v/>
      </c>
      <c r="Q160" s="16">
        <f>IF($B160="","",IFERROR(VLOOKUP($G160,FXRates,5,FALSE),$G160))</f>
        <v/>
      </c>
      <c r="R160" s="14">
        <f>IF($B160="","",IF($D160=CashLabel,"",SUMIFS($P$5:$P$204,$B$5:$B$204,$B160,$D$5:$D$204,"&lt;&gt;"&amp;CashLabel)/ConcDenom))</f>
        <v/>
      </c>
      <c r="S160" s="14">
        <f>IF($B160="","",IF($D160=CashLabel,"",SUMIFS($P$5:$P$204,$E$5:$E$204,$E160,$D$5:$D$204,"&lt;&gt;"&amp;CashLabel)/ConcDenom))</f>
        <v/>
      </c>
      <c r="T160" s="14">
        <f>IF($B160="","",IF($D160=CashLabel,"",SUMIFS($P$5:$P$204,$F$5:$F$204,$F160,$D$5:$D$204,"&lt;&gt;"&amp;CashLabel)/ConcDenom))</f>
        <v/>
      </c>
      <c r="U160" s="14">
        <f>IF($B160="","",IF($D160=CashLabel,"",SUMIFS($P$5:$P$204,$D$5:$D$204,$D160,$D$5:$D$204,"&lt;&gt;"&amp;CashLabel)/ConcDenom))</f>
        <v/>
      </c>
      <c r="V160" s="15">
        <f>IF($B160="","",IF($D160=CashLabel,1,IF($R160&gt;ThrSingle,ThrSingle/$R160,1)))</f>
        <v/>
      </c>
      <c r="W160" s="15">
        <f>IF($B160="","",IF($D160=CashLabel,1,IF($S160&gt;ThrIssuer,ThrIssuer/$S160,1)))</f>
        <v/>
      </c>
      <c r="X160" s="15">
        <f>IF($B160="","",IF($D160=CashLabel,1,IF($T160&gt;IFERROR(VLOOKUP($F160,CountryThr,2,FALSE),DefThrCountry),IFERROR(VLOOKUP($F160,CountryThr,2,FALSE),DefThrCountry)/$T160,1)))</f>
        <v/>
      </c>
      <c r="Y160" s="15">
        <f>IF($B160="","",IF($D160=CashLabel,1,IF($U160&gt;IFERROR(VLOOKUP($D160,LVTable,3,FALSE),DefThrAsset),IFERROR(VLOOKUP($D160,LVTable,3,FALSE),DefThrAsset)/$U160,1)))</f>
        <v/>
      </c>
      <c r="Z160" s="34">
        <f>IF($B160="","",IF($D160=CashLabel,1,MIN($V160:$Y160)))</f>
        <v/>
      </c>
      <c r="AA160" s="25">
        <f>IF($B160="","",$P160*$Z160)</f>
        <v/>
      </c>
      <c r="AB160" s="33">
        <f>IF($B160="","",$P160-$AA160)</f>
        <v/>
      </c>
      <c r="AC160" s="21" t="n"/>
      <c r="AD160" s="33">
        <f>IF($B160="","",$M160*(1+IF(ISNUMBER($AC160),$AC160,0)))</f>
        <v/>
      </c>
      <c r="AE160" s="33">
        <f>IF($B160="","",$AD160*$O160)</f>
        <v/>
      </c>
      <c r="AF160" s="14">
        <f>IF($B160="","",IF($D160=CashLabel,"",SUMIFS($AE$5:$AE$204,$B$5:$B$204,$B160,$D$5:$D$204,"&lt;&gt;"&amp;CashLabel)/ConcDenomStr))</f>
        <v/>
      </c>
      <c r="AG160" s="14">
        <f>IF($B160="","",IF($D160=CashLabel,"",SUMIFS($AE$5:$AE$204,$E$5:$E$204,$E160,$D$5:$D$204,"&lt;&gt;"&amp;CashLabel)/ConcDenomStr))</f>
        <v/>
      </c>
      <c r="AH160" s="14">
        <f>IF($B160="","",IF($D160=CashLabel,"",SUMIFS($AE$5:$AE$204,$F$5:$F$204,$F160,$D$5:$D$204,"&lt;&gt;"&amp;CashLabel)/ConcDenomStr))</f>
        <v/>
      </c>
      <c r="AI160" s="14">
        <f>IF($B160="","",IF($D160=CashLabel,"",SUMIFS($AE$5:$AE$204,$D$5:$D$204,$D160,$D$5:$D$204,"&lt;&gt;"&amp;CashLabel)/ConcDenomStr))</f>
        <v/>
      </c>
      <c r="AJ160" s="15">
        <f>IF($B160="","",IF($D160=CashLabel,1,MIN(IF($AF160&gt;ThrSingle,ThrSingle/$AF160,1),IF($AG160&gt;ThrIssuer,ThrIssuer/$AG160,1),IF($AH160&gt;IFERROR(VLOOKUP($F160,CountryThr,2,FALSE),DefThrCountry),IFERROR(VLOOKUP($F160,CountryThr,2,FALSE),DefThrCountry)/$AH160,1),IF($AI160&gt;IFERROR(VLOOKUP($D160,LVTable,3,FALSE),DefThrAsset),IFERROR(VLOOKUP($D160,LVTable,3,FALSE),DefThrAsset)/$AI160,1))))</f>
        <v/>
      </c>
      <c r="AK160" s="33">
        <f>IF($B160="","",$AE160*$AJ160)</f>
        <v/>
      </c>
    </row>
    <row r="161">
      <c r="A161" s="16">
        <f>IF($B161="","",ROW()-4)</f>
        <v/>
      </c>
      <c r="B161" s="20" t="n"/>
      <c r="C161" s="20" t="n"/>
      <c r="D161" s="20" t="n"/>
      <c r="E161" s="20" t="n"/>
      <c r="F161" s="20" t="n"/>
      <c r="G161" s="20" t="n"/>
      <c r="H161" s="30" t="n"/>
      <c r="I161" s="30" t="n"/>
      <c r="J161" s="30" t="n"/>
      <c r="K161" s="31">
        <f>IF($B161="","",IF(ISNUMBER($J161),$J161,$I161))</f>
        <v/>
      </c>
      <c r="L161" s="32">
        <f>IF($B161="","",IFERROR(VLOOKUP($G161,FXRates,4,FALSE),1))</f>
        <v/>
      </c>
      <c r="M161" s="33">
        <f>IF($B161="","",$H161*$K161*$L161)</f>
        <v/>
      </c>
      <c r="N161" s="21" t="n"/>
      <c r="O161" s="14">
        <f>IF($B161="","",IF($D161=CashLabel,IF(ISNUMBER($N161),$N161,1),MIN(IF(ISNUMBER($N161),$N161,IFERROR(VLOOKUP($D161,LVTable,2,FALSE),0)),LVCap)))</f>
        <v/>
      </c>
      <c r="P161" s="25">
        <f>IF($B161="","",$M161*$O161)</f>
        <v/>
      </c>
      <c r="Q161" s="16">
        <f>IF($B161="","",IFERROR(VLOOKUP($G161,FXRates,5,FALSE),$G161))</f>
        <v/>
      </c>
      <c r="R161" s="14">
        <f>IF($B161="","",IF($D161=CashLabel,"",SUMIFS($P$5:$P$204,$B$5:$B$204,$B161,$D$5:$D$204,"&lt;&gt;"&amp;CashLabel)/ConcDenom))</f>
        <v/>
      </c>
      <c r="S161" s="14">
        <f>IF($B161="","",IF($D161=CashLabel,"",SUMIFS($P$5:$P$204,$E$5:$E$204,$E161,$D$5:$D$204,"&lt;&gt;"&amp;CashLabel)/ConcDenom))</f>
        <v/>
      </c>
      <c r="T161" s="14">
        <f>IF($B161="","",IF($D161=CashLabel,"",SUMIFS($P$5:$P$204,$F$5:$F$204,$F161,$D$5:$D$204,"&lt;&gt;"&amp;CashLabel)/ConcDenom))</f>
        <v/>
      </c>
      <c r="U161" s="14">
        <f>IF($B161="","",IF($D161=CashLabel,"",SUMIFS($P$5:$P$204,$D$5:$D$204,$D161,$D$5:$D$204,"&lt;&gt;"&amp;CashLabel)/ConcDenom))</f>
        <v/>
      </c>
      <c r="V161" s="15">
        <f>IF($B161="","",IF($D161=CashLabel,1,IF($R161&gt;ThrSingle,ThrSingle/$R161,1)))</f>
        <v/>
      </c>
      <c r="W161" s="15">
        <f>IF($B161="","",IF($D161=CashLabel,1,IF($S161&gt;ThrIssuer,ThrIssuer/$S161,1)))</f>
        <v/>
      </c>
      <c r="X161" s="15">
        <f>IF($B161="","",IF($D161=CashLabel,1,IF($T161&gt;IFERROR(VLOOKUP($F161,CountryThr,2,FALSE),DefThrCountry),IFERROR(VLOOKUP($F161,CountryThr,2,FALSE),DefThrCountry)/$T161,1)))</f>
        <v/>
      </c>
      <c r="Y161" s="15">
        <f>IF($B161="","",IF($D161=CashLabel,1,IF($U161&gt;IFERROR(VLOOKUP($D161,LVTable,3,FALSE),DefThrAsset),IFERROR(VLOOKUP($D161,LVTable,3,FALSE),DefThrAsset)/$U161,1)))</f>
        <v/>
      </c>
      <c r="Z161" s="34">
        <f>IF($B161="","",IF($D161=CashLabel,1,MIN($V161:$Y161)))</f>
        <v/>
      </c>
      <c r="AA161" s="25">
        <f>IF($B161="","",$P161*$Z161)</f>
        <v/>
      </c>
      <c r="AB161" s="33">
        <f>IF($B161="","",$P161-$AA161)</f>
        <v/>
      </c>
      <c r="AC161" s="21" t="n"/>
      <c r="AD161" s="33">
        <f>IF($B161="","",$M161*(1+IF(ISNUMBER($AC161),$AC161,0)))</f>
        <v/>
      </c>
      <c r="AE161" s="33">
        <f>IF($B161="","",$AD161*$O161)</f>
        <v/>
      </c>
      <c r="AF161" s="14">
        <f>IF($B161="","",IF($D161=CashLabel,"",SUMIFS($AE$5:$AE$204,$B$5:$B$204,$B161,$D$5:$D$204,"&lt;&gt;"&amp;CashLabel)/ConcDenomStr))</f>
        <v/>
      </c>
      <c r="AG161" s="14">
        <f>IF($B161="","",IF($D161=CashLabel,"",SUMIFS($AE$5:$AE$204,$E$5:$E$204,$E161,$D$5:$D$204,"&lt;&gt;"&amp;CashLabel)/ConcDenomStr))</f>
        <v/>
      </c>
      <c r="AH161" s="14">
        <f>IF($B161="","",IF($D161=CashLabel,"",SUMIFS($AE$5:$AE$204,$F$5:$F$204,$F161,$D$5:$D$204,"&lt;&gt;"&amp;CashLabel)/ConcDenomStr))</f>
        <v/>
      </c>
      <c r="AI161" s="14">
        <f>IF($B161="","",IF($D161=CashLabel,"",SUMIFS($AE$5:$AE$204,$D$5:$D$204,$D161,$D$5:$D$204,"&lt;&gt;"&amp;CashLabel)/ConcDenomStr))</f>
        <v/>
      </c>
      <c r="AJ161" s="15">
        <f>IF($B161="","",IF($D161=CashLabel,1,MIN(IF($AF161&gt;ThrSingle,ThrSingle/$AF161,1),IF($AG161&gt;ThrIssuer,ThrIssuer/$AG161,1),IF($AH161&gt;IFERROR(VLOOKUP($F161,CountryThr,2,FALSE),DefThrCountry),IFERROR(VLOOKUP($F161,CountryThr,2,FALSE),DefThrCountry)/$AH161,1),IF($AI161&gt;IFERROR(VLOOKUP($D161,LVTable,3,FALSE),DefThrAsset),IFERROR(VLOOKUP($D161,LVTable,3,FALSE),DefThrAsset)/$AI161,1))))</f>
        <v/>
      </c>
      <c r="AK161" s="33">
        <f>IF($B161="","",$AE161*$AJ161)</f>
        <v/>
      </c>
    </row>
    <row r="162">
      <c r="A162" s="16">
        <f>IF($B162="","",ROW()-4)</f>
        <v/>
      </c>
      <c r="B162" s="20" t="n"/>
      <c r="C162" s="20" t="n"/>
      <c r="D162" s="20" t="n"/>
      <c r="E162" s="20" t="n"/>
      <c r="F162" s="20" t="n"/>
      <c r="G162" s="20" t="n"/>
      <c r="H162" s="30" t="n"/>
      <c r="I162" s="30" t="n"/>
      <c r="J162" s="30" t="n"/>
      <c r="K162" s="31">
        <f>IF($B162="","",IF(ISNUMBER($J162),$J162,$I162))</f>
        <v/>
      </c>
      <c r="L162" s="32">
        <f>IF($B162="","",IFERROR(VLOOKUP($G162,FXRates,4,FALSE),1))</f>
        <v/>
      </c>
      <c r="M162" s="33">
        <f>IF($B162="","",$H162*$K162*$L162)</f>
        <v/>
      </c>
      <c r="N162" s="21" t="n"/>
      <c r="O162" s="14">
        <f>IF($B162="","",IF($D162=CashLabel,IF(ISNUMBER($N162),$N162,1),MIN(IF(ISNUMBER($N162),$N162,IFERROR(VLOOKUP($D162,LVTable,2,FALSE),0)),LVCap)))</f>
        <v/>
      </c>
      <c r="P162" s="25">
        <f>IF($B162="","",$M162*$O162)</f>
        <v/>
      </c>
      <c r="Q162" s="16">
        <f>IF($B162="","",IFERROR(VLOOKUP($G162,FXRates,5,FALSE),$G162))</f>
        <v/>
      </c>
      <c r="R162" s="14">
        <f>IF($B162="","",IF($D162=CashLabel,"",SUMIFS($P$5:$P$204,$B$5:$B$204,$B162,$D$5:$D$204,"&lt;&gt;"&amp;CashLabel)/ConcDenom))</f>
        <v/>
      </c>
      <c r="S162" s="14">
        <f>IF($B162="","",IF($D162=CashLabel,"",SUMIFS($P$5:$P$204,$E$5:$E$204,$E162,$D$5:$D$204,"&lt;&gt;"&amp;CashLabel)/ConcDenom))</f>
        <v/>
      </c>
      <c r="T162" s="14">
        <f>IF($B162="","",IF($D162=CashLabel,"",SUMIFS($P$5:$P$204,$F$5:$F$204,$F162,$D$5:$D$204,"&lt;&gt;"&amp;CashLabel)/ConcDenom))</f>
        <v/>
      </c>
      <c r="U162" s="14">
        <f>IF($B162="","",IF($D162=CashLabel,"",SUMIFS($P$5:$P$204,$D$5:$D$204,$D162,$D$5:$D$204,"&lt;&gt;"&amp;CashLabel)/ConcDenom))</f>
        <v/>
      </c>
      <c r="V162" s="15">
        <f>IF($B162="","",IF($D162=CashLabel,1,IF($R162&gt;ThrSingle,ThrSingle/$R162,1)))</f>
        <v/>
      </c>
      <c r="W162" s="15">
        <f>IF($B162="","",IF($D162=CashLabel,1,IF($S162&gt;ThrIssuer,ThrIssuer/$S162,1)))</f>
        <v/>
      </c>
      <c r="X162" s="15">
        <f>IF($B162="","",IF($D162=CashLabel,1,IF($T162&gt;IFERROR(VLOOKUP($F162,CountryThr,2,FALSE),DefThrCountry),IFERROR(VLOOKUP($F162,CountryThr,2,FALSE),DefThrCountry)/$T162,1)))</f>
        <v/>
      </c>
      <c r="Y162" s="15">
        <f>IF($B162="","",IF($D162=CashLabel,1,IF($U162&gt;IFERROR(VLOOKUP($D162,LVTable,3,FALSE),DefThrAsset),IFERROR(VLOOKUP($D162,LVTable,3,FALSE),DefThrAsset)/$U162,1)))</f>
        <v/>
      </c>
      <c r="Z162" s="34">
        <f>IF($B162="","",IF($D162=CashLabel,1,MIN($V162:$Y162)))</f>
        <v/>
      </c>
      <c r="AA162" s="25">
        <f>IF($B162="","",$P162*$Z162)</f>
        <v/>
      </c>
      <c r="AB162" s="33">
        <f>IF($B162="","",$P162-$AA162)</f>
        <v/>
      </c>
      <c r="AC162" s="21" t="n"/>
      <c r="AD162" s="33">
        <f>IF($B162="","",$M162*(1+IF(ISNUMBER($AC162),$AC162,0)))</f>
        <v/>
      </c>
      <c r="AE162" s="33">
        <f>IF($B162="","",$AD162*$O162)</f>
        <v/>
      </c>
      <c r="AF162" s="14">
        <f>IF($B162="","",IF($D162=CashLabel,"",SUMIFS($AE$5:$AE$204,$B$5:$B$204,$B162,$D$5:$D$204,"&lt;&gt;"&amp;CashLabel)/ConcDenomStr))</f>
        <v/>
      </c>
      <c r="AG162" s="14">
        <f>IF($B162="","",IF($D162=CashLabel,"",SUMIFS($AE$5:$AE$204,$E$5:$E$204,$E162,$D$5:$D$204,"&lt;&gt;"&amp;CashLabel)/ConcDenomStr))</f>
        <v/>
      </c>
      <c r="AH162" s="14">
        <f>IF($B162="","",IF($D162=CashLabel,"",SUMIFS($AE$5:$AE$204,$F$5:$F$204,$F162,$D$5:$D$204,"&lt;&gt;"&amp;CashLabel)/ConcDenomStr))</f>
        <v/>
      </c>
      <c r="AI162" s="14">
        <f>IF($B162="","",IF($D162=CashLabel,"",SUMIFS($AE$5:$AE$204,$D$5:$D$204,$D162,$D$5:$D$204,"&lt;&gt;"&amp;CashLabel)/ConcDenomStr))</f>
        <v/>
      </c>
      <c r="AJ162" s="15">
        <f>IF($B162="","",IF($D162=CashLabel,1,MIN(IF($AF162&gt;ThrSingle,ThrSingle/$AF162,1),IF($AG162&gt;ThrIssuer,ThrIssuer/$AG162,1),IF($AH162&gt;IFERROR(VLOOKUP($F162,CountryThr,2,FALSE),DefThrCountry),IFERROR(VLOOKUP($F162,CountryThr,2,FALSE),DefThrCountry)/$AH162,1),IF($AI162&gt;IFERROR(VLOOKUP($D162,LVTable,3,FALSE),DefThrAsset),IFERROR(VLOOKUP($D162,LVTable,3,FALSE),DefThrAsset)/$AI162,1))))</f>
        <v/>
      </c>
      <c r="AK162" s="33">
        <f>IF($B162="","",$AE162*$AJ162)</f>
        <v/>
      </c>
    </row>
    <row r="163">
      <c r="A163" s="16">
        <f>IF($B163="","",ROW()-4)</f>
        <v/>
      </c>
      <c r="B163" s="20" t="n"/>
      <c r="C163" s="20" t="n"/>
      <c r="D163" s="20" t="n"/>
      <c r="E163" s="20" t="n"/>
      <c r="F163" s="20" t="n"/>
      <c r="G163" s="20" t="n"/>
      <c r="H163" s="30" t="n"/>
      <c r="I163" s="30" t="n"/>
      <c r="J163" s="30" t="n"/>
      <c r="K163" s="31">
        <f>IF($B163="","",IF(ISNUMBER($J163),$J163,$I163))</f>
        <v/>
      </c>
      <c r="L163" s="32">
        <f>IF($B163="","",IFERROR(VLOOKUP($G163,FXRates,4,FALSE),1))</f>
        <v/>
      </c>
      <c r="M163" s="33">
        <f>IF($B163="","",$H163*$K163*$L163)</f>
        <v/>
      </c>
      <c r="N163" s="21" t="n"/>
      <c r="O163" s="14">
        <f>IF($B163="","",IF($D163=CashLabel,IF(ISNUMBER($N163),$N163,1),MIN(IF(ISNUMBER($N163),$N163,IFERROR(VLOOKUP($D163,LVTable,2,FALSE),0)),LVCap)))</f>
        <v/>
      </c>
      <c r="P163" s="25">
        <f>IF($B163="","",$M163*$O163)</f>
        <v/>
      </c>
      <c r="Q163" s="16">
        <f>IF($B163="","",IFERROR(VLOOKUP($G163,FXRates,5,FALSE),$G163))</f>
        <v/>
      </c>
      <c r="R163" s="14">
        <f>IF($B163="","",IF($D163=CashLabel,"",SUMIFS($P$5:$P$204,$B$5:$B$204,$B163,$D$5:$D$204,"&lt;&gt;"&amp;CashLabel)/ConcDenom))</f>
        <v/>
      </c>
      <c r="S163" s="14">
        <f>IF($B163="","",IF($D163=CashLabel,"",SUMIFS($P$5:$P$204,$E$5:$E$204,$E163,$D$5:$D$204,"&lt;&gt;"&amp;CashLabel)/ConcDenom))</f>
        <v/>
      </c>
      <c r="T163" s="14">
        <f>IF($B163="","",IF($D163=CashLabel,"",SUMIFS($P$5:$P$204,$F$5:$F$204,$F163,$D$5:$D$204,"&lt;&gt;"&amp;CashLabel)/ConcDenom))</f>
        <v/>
      </c>
      <c r="U163" s="14">
        <f>IF($B163="","",IF($D163=CashLabel,"",SUMIFS($P$5:$P$204,$D$5:$D$204,$D163,$D$5:$D$204,"&lt;&gt;"&amp;CashLabel)/ConcDenom))</f>
        <v/>
      </c>
      <c r="V163" s="15">
        <f>IF($B163="","",IF($D163=CashLabel,1,IF($R163&gt;ThrSingle,ThrSingle/$R163,1)))</f>
        <v/>
      </c>
      <c r="W163" s="15">
        <f>IF($B163="","",IF($D163=CashLabel,1,IF($S163&gt;ThrIssuer,ThrIssuer/$S163,1)))</f>
        <v/>
      </c>
      <c r="X163" s="15">
        <f>IF($B163="","",IF($D163=CashLabel,1,IF($T163&gt;IFERROR(VLOOKUP($F163,CountryThr,2,FALSE),DefThrCountry),IFERROR(VLOOKUP($F163,CountryThr,2,FALSE),DefThrCountry)/$T163,1)))</f>
        <v/>
      </c>
      <c r="Y163" s="15">
        <f>IF($B163="","",IF($D163=CashLabel,1,IF($U163&gt;IFERROR(VLOOKUP($D163,LVTable,3,FALSE),DefThrAsset),IFERROR(VLOOKUP($D163,LVTable,3,FALSE),DefThrAsset)/$U163,1)))</f>
        <v/>
      </c>
      <c r="Z163" s="34">
        <f>IF($B163="","",IF($D163=CashLabel,1,MIN($V163:$Y163)))</f>
        <v/>
      </c>
      <c r="AA163" s="25">
        <f>IF($B163="","",$P163*$Z163)</f>
        <v/>
      </c>
      <c r="AB163" s="33">
        <f>IF($B163="","",$P163-$AA163)</f>
        <v/>
      </c>
      <c r="AC163" s="21" t="n"/>
      <c r="AD163" s="33">
        <f>IF($B163="","",$M163*(1+IF(ISNUMBER($AC163),$AC163,0)))</f>
        <v/>
      </c>
      <c r="AE163" s="33">
        <f>IF($B163="","",$AD163*$O163)</f>
        <v/>
      </c>
      <c r="AF163" s="14">
        <f>IF($B163="","",IF($D163=CashLabel,"",SUMIFS($AE$5:$AE$204,$B$5:$B$204,$B163,$D$5:$D$204,"&lt;&gt;"&amp;CashLabel)/ConcDenomStr))</f>
        <v/>
      </c>
      <c r="AG163" s="14">
        <f>IF($B163="","",IF($D163=CashLabel,"",SUMIFS($AE$5:$AE$204,$E$5:$E$204,$E163,$D$5:$D$204,"&lt;&gt;"&amp;CashLabel)/ConcDenomStr))</f>
        <v/>
      </c>
      <c r="AH163" s="14">
        <f>IF($B163="","",IF($D163=CashLabel,"",SUMIFS($AE$5:$AE$204,$F$5:$F$204,$F163,$D$5:$D$204,"&lt;&gt;"&amp;CashLabel)/ConcDenomStr))</f>
        <v/>
      </c>
      <c r="AI163" s="14">
        <f>IF($B163="","",IF($D163=CashLabel,"",SUMIFS($AE$5:$AE$204,$D$5:$D$204,$D163,$D$5:$D$204,"&lt;&gt;"&amp;CashLabel)/ConcDenomStr))</f>
        <v/>
      </c>
      <c r="AJ163" s="15">
        <f>IF($B163="","",IF($D163=CashLabel,1,MIN(IF($AF163&gt;ThrSingle,ThrSingle/$AF163,1),IF($AG163&gt;ThrIssuer,ThrIssuer/$AG163,1),IF($AH163&gt;IFERROR(VLOOKUP($F163,CountryThr,2,FALSE),DefThrCountry),IFERROR(VLOOKUP($F163,CountryThr,2,FALSE),DefThrCountry)/$AH163,1),IF($AI163&gt;IFERROR(VLOOKUP($D163,LVTable,3,FALSE),DefThrAsset),IFERROR(VLOOKUP($D163,LVTable,3,FALSE),DefThrAsset)/$AI163,1))))</f>
        <v/>
      </c>
      <c r="AK163" s="33">
        <f>IF($B163="","",$AE163*$AJ163)</f>
        <v/>
      </c>
    </row>
    <row r="164">
      <c r="A164" s="16">
        <f>IF($B164="","",ROW()-4)</f>
        <v/>
      </c>
      <c r="B164" s="20" t="n"/>
      <c r="C164" s="20" t="n"/>
      <c r="D164" s="20" t="n"/>
      <c r="E164" s="20" t="n"/>
      <c r="F164" s="20" t="n"/>
      <c r="G164" s="20" t="n"/>
      <c r="H164" s="30" t="n"/>
      <c r="I164" s="30" t="n"/>
      <c r="J164" s="30" t="n"/>
      <c r="K164" s="31">
        <f>IF($B164="","",IF(ISNUMBER($J164),$J164,$I164))</f>
        <v/>
      </c>
      <c r="L164" s="32">
        <f>IF($B164="","",IFERROR(VLOOKUP($G164,FXRates,4,FALSE),1))</f>
        <v/>
      </c>
      <c r="M164" s="33">
        <f>IF($B164="","",$H164*$K164*$L164)</f>
        <v/>
      </c>
      <c r="N164" s="21" t="n"/>
      <c r="O164" s="14">
        <f>IF($B164="","",IF($D164=CashLabel,IF(ISNUMBER($N164),$N164,1),MIN(IF(ISNUMBER($N164),$N164,IFERROR(VLOOKUP($D164,LVTable,2,FALSE),0)),LVCap)))</f>
        <v/>
      </c>
      <c r="P164" s="25">
        <f>IF($B164="","",$M164*$O164)</f>
        <v/>
      </c>
      <c r="Q164" s="16">
        <f>IF($B164="","",IFERROR(VLOOKUP($G164,FXRates,5,FALSE),$G164))</f>
        <v/>
      </c>
      <c r="R164" s="14">
        <f>IF($B164="","",IF($D164=CashLabel,"",SUMIFS($P$5:$P$204,$B$5:$B$204,$B164,$D$5:$D$204,"&lt;&gt;"&amp;CashLabel)/ConcDenom))</f>
        <v/>
      </c>
      <c r="S164" s="14">
        <f>IF($B164="","",IF($D164=CashLabel,"",SUMIFS($P$5:$P$204,$E$5:$E$204,$E164,$D$5:$D$204,"&lt;&gt;"&amp;CashLabel)/ConcDenom))</f>
        <v/>
      </c>
      <c r="T164" s="14">
        <f>IF($B164="","",IF($D164=CashLabel,"",SUMIFS($P$5:$P$204,$F$5:$F$204,$F164,$D$5:$D$204,"&lt;&gt;"&amp;CashLabel)/ConcDenom))</f>
        <v/>
      </c>
      <c r="U164" s="14">
        <f>IF($B164="","",IF($D164=CashLabel,"",SUMIFS($P$5:$P$204,$D$5:$D$204,$D164,$D$5:$D$204,"&lt;&gt;"&amp;CashLabel)/ConcDenom))</f>
        <v/>
      </c>
      <c r="V164" s="15">
        <f>IF($B164="","",IF($D164=CashLabel,1,IF($R164&gt;ThrSingle,ThrSingle/$R164,1)))</f>
        <v/>
      </c>
      <c r="W164" s="15">
        <f>IF($B164="","",IF($D164=CashLabel,1,IF($S164&gt;ThrIssuer,ThrIssuer/$S164,1)))</f>
        <v/>
      </c>
      <c r="X164" s="15">
        <f>IF($B164="","",IF($D164=CashLabel,1,IF($T164&gt;IFERROR(VLOOKUP($F164,CountryThr,2,FALSE),DefThrCountry),IFERROR(VLOOKUP($F164,CountryThr,2,FALSE),DefThrCountry)/$T164,1)))</f>
        <v/>
      </c>
      <c r="Y164" s="15">
        <f>IF($B164="","",IF($D164=CashLabel,1,IF($U164&gt;IFERROR(VLOOKUP($D164,LVTable,3,FALSE),DefThrAsset),IFERROR(VLOOKUP($D164,LVTable,3,FALSE),DefThrAsset)/$U164,1)))</f>
        <v/>
      </c>
      <c r="Z164" s="34">
        <f>IF($B164="","",IF($D164=CashLabel,1,MIN($V164:$Y164)))</f>
        <v/>
      </c>
      <c r="AA164" s="25">
        <f>IF($B164="","",$P164*$Z164)</f>
        <v/>
      </c>
      <c r="AB164" s="33">
        <f>IF($B164="","",$P164-$AA164)</f>
        <v/>
      </c>
      <c r="AC164" s="21" t="n"/>
      <c r="AD164" s="33">
        <f>IF($B164="","",$M164*(1+IF(ISNUMBER($AC164),$AC164,0)))</f>
        <v/>
      </c>
      <c r="AE164" s="33">
        <f>IF($B164="","",$AD164*$O164)</f>
        <v/>
      </c>
      <c r="AF164" s="14">
        <f>IF($B164="","",IF($D164=CashLabel,"",SUMIFS($AE$5:$AE$204,$B$5:$B$204,$B164,$D$5:$D$204,"&lt;&gt;"&amp;CashLabel)/ConcDenomStr))</f>
        <v/>
      </c>
      <c r="AG164" s="14">
        <f>IF($B164="","",IF($D164=CashLabel,"",SUMIFS($AE$5:$AE$204,$E$5:$E$204,$E164,$D$5:$D$204,"&lt;&gt;"&amp;CashLabel)/ConcDenomStr))</f>
        <v/>
      </c>
      <c r="AH164" s="14">
        <f>IF($B164="","",IF($D164=CashLabel,"",SUMIFS($AE$5:$AE$204,$F$5:$F$204,$F164,$D$5:$D$204,"&lt;&gt;"&amp;CashLabel)/ConcDenomStr))</f>
        <v/>
      </c>
      <c r="AI164" s="14">
        <f>IF($B164="","",IF($D164=CashLabel,"",SUMIFS($AE$5:$AE$204,$D$5:$D$204,$D164,$D$5:$D$204,"&lt;&gt;"&amp;CashLabel)/ConcDenomStr))</f>
        <v/>
      </c>
      <c r="AJ164" s="15">
        <f>IF($B164="","",IF($D164=CashLabel,1,MIN(IF($AF164&gt;ThrSingle,ThrSingle/$AF164,1),IF($AG164&gt;ThrIssuer,ThrIssuer/$AG164,1),IF($AH164&gt;IFERROR(VLOOKUP($F164,CountryThr,2,FALSE),DefThrCountry),IFERROR(VLOOKUP($F164,CountryThr,2,FALSE),DefThrCountry)/$AH164,1),IF($AI164&gt;IFERROR(VLOOKUP($D164,LVTable,3,FALSE),DefThrAsset),IFERROR(VLOOKUP($D164,LVTable,3,FALSE),DefThrAsset)/$AI164,1))))</f>
        <v/>
      </c>
      <c r="AK164" s="33">
        <f>IF($B164="","",$AE164*$AJ164)</f>
        <v/>
      </c>
    </row>
    <row r="165">
      <c r="A165" s="16">
        <f>IF($B165="","",ROW()-4)</f>
        <v/>
      </c>
      <c r="B165" s="20" t="n"/>
      <c r="C165" s="20" t="n"/>
      <c r="D165" s="20" t="n"/>
      <c r="E165" s="20" t="n"/>
      <c r="F165" s="20" t="n"/>
      <c r="G165" s="20" t="n"/>
      <c r="H165" s="30" t="n"/>
      <c r="I165" s="30" t="n"/>
      <c r="J165" s="30" t="n"/>
      <c r="K165" s="31">
        <f>IF($B165="","",IF(ISNUMBER($J165),$J165,$I165))</f>
        <v/>
      </c>
      <c r="L165" s="32">
        <f>IF($B165="","",IFERROR(VLOOKUP($G165,FXRates,4,FALSE),1))</f>
        <v/>
      </c>
      <c r="M165" s="33">
        <f>IF($B165="","",$H165*$K165*$L165)</f>
        <v/>
      </c>
      <c r="N165" s="21" t="n"/>
      <c r="O165" s="14">
        <f>IF($B165="","",IF($D165=CashLabel,IF(ISNUMBER($N165),$N165,1),MIN(IF(ISNUMBER($N165),$N165,IFERROR(VLOOKUP($D165,LVTable,2,FALSE),0)),LVCap)))</f>
        <v/>
      </c>
      <c r="P165" s="25">
        <f>IF($B165="","",$M165*$O165)</f>
        <v/>
      </c>
      <c r="Q165" s="16">
        <f>IF($B165="","",IFERROR(VLOOKUP($G165,FXRates,5,FALSE),$G165))</f>
        <v/>
      </c>
      <c r="R165" s="14">
        <f>IF($B165="","",IF($D165=CashLabel,"",SUMIFS($P$5:$P$204,$B$5:$B$204,$B165,$D$5:$D$204,"&lt;&gt;"&amp;CashLabel)/ConcDenom))</f>
        <v/>
      </c>
      <c r="S165" s="14">
        <f>IF($B165="","",IF($D165=CashLabel,"",SUMIFS($P$5:$P$204,$E$5:$E$204,$E165,$D$5:$D$204,"&lt;&gt;"&amp;CashLabel)/ConcDenom))</f>
        <v/>
      </c>
      <c r="T165" s="14">
        <f>IF($B165="","",IF($D165=CashLabel,"",SUMIFS($P$5:$P$204,$F$5:$F$204,$F165,$D$5:$D$204,"&lt;&gt;"&amp;CashLabel)/ConcDenom))</f>
        <v/>
      </c>
      <c r="U165" s="14">
        <f>IF($B165="","",IF($D165=CashLabel,"",SUMIFS($P$5:$P$204,$D$5:$D$204,$D165,$D$5:$D$204,"&lt;&gt;"&amp;CashLabel)/ConcDenom))</f>
        <v/>
      </c>
      <c r="V165" s="15">
        <f>IF($B165="","",IF($D165=CashLabel,1,IF($R165&gt;ThrSingle,ThrSingle/$R165,1)))</f>
        <v/>
      </c>
      <c r="W165" s="15">
        <f>IF($B165="","",IF($D165=CashLabel,1,IF($S165&gt;ThrIssuer,ThrIssuer/$S165,1)))</f>
        <v/>
      </c>
      <c r="X165" s="15">
        <f>IF($B165="","",IF($D165=CashLabel,1,IF($T165&gt;IFERROR(VLOOKUP($F165,CountryThr,2,FALSE),DefThrCountry),IFERROR(VLOOKUP($F165,CountryThr,2,FALSE),DefThrCountry)/$T165,1)))</f>
        <v/>
      </c>
      <c r="Y165" s="15">
        <f>IF($B165="","",IF($D165=CashLabel,1,IF($U165&gt;IFERROR(VLOOKUP($D165,LVTable,3,FALSE),DefThrAsset),IFERROR(VLOOKUP($D165,LVTable,3,FALSE),DefThrAsset)/$U165,1)))</f>
        <v/>
      </c>
      <c r="Z165" s="34">
        <f>IF($B165="","",IF($D165=CashLabel,1,MIN($V165:$Y165)))</f>
        <v/>
      </c>
      <c r="AA165" s="25">
        <f>IF($B165="","",$P165*$Z165)</f>
        <v/>
      </c>
      <c r="AB165" s="33">
        <f>IF($B165="","",$P165-$AA165)</f>
        <v/>
      </c>
      <c r="AC165" s="21" t="n"/>
      <c r="AD165" s="33">
        <f>IF($B165="","",$M165*(1+IF(ISNUMBER($AC165),$AC165,0)))</f>
        <v/>
      </c>
      <c r="AE165" s="33">
        <f>IF($B165="","",$AD165*$O165)</f>
        <v/>
      </c>
      <c r="AF165" s="14">
        <f>IF($B165="","",IF($D165=CashLabel,"",SUMIFS($AE$5:$AE$204,$B$5:$B$204,$B165,$D$5:$D$204,"&lt;&gt;"&amp;CashLabel)/ConcDenomStr))</f>
        <v/>
      </c>
      <c r="AG165" s="14">
        <f>IF($B165="","",IF($D165=CashLabel,"",SUMIFS($AE$5:$AE$204,$E$5:$E$204,$E165,$D$5:$D$204,"&lt;&gt;"&amp;CashLabel)/ConcDenomStr))</f>
        <v/>
      </c>
      <c r="AH165" s="14">
        <f>IF($B165="","",IF($D165=CashLabel,"",SUMIFS($AE$5:$AE$204,$F$5:$F$204,$F165,$D$5:$D$204,"&lt;&gt;"&amp;CashLabel)/ConcDenomStr))</f>
        <v/>
      </c>
      <c r="AI165" s="14">
        <f>IF($B165="","",IF($D165=CashLabel,"",SUMIFS($AE$5:$AE$204,$D$5:$D$204,$D165,$D$5:$D$204,"&lt;&gt;"&amp;CashLabel)/ConcDenomStr))</f>
        <v/>
      </c>
      <c r="AJ165" s="15">
        <f>IF($B165="","",IF($D165=CashLabel,1,MIN(IF($AF165&gt;ThrSingle,ThrSingle/$AF165,1),IF($AG165&gt;ThrIssuer,ThrIssuer/$AG165,1),IF($AH165&gt;IFERROR(VLOOKUP($F165,CountryThr,2,FALSE),DefThrCountry),IFERROR(VLOOKUP($F165,CountryThr,2,FALSE),DefThrCountry)/$AH165,1),IF($AI165&gt;IFERROR(VLOOKUP($D165,LVTable,3,FALSE),DefThrAsset),IFERROR(VLOOKUP($D165,LVTable,3,FALSE),DefThrAsset)/$AI165,1))))</f>
        <v/>
      </c>
      <c r="AK165" s="33">
        <f>IF($B165="","",$AE165*$AJ165)</f>
        <v/>
      </c>
    </row>
    <row r="166">
      <c r="A166" s="16">
        <f>IF($B166="","",ROW()-4)</f>
        <v/>
      </c>
      <c r="B166" s="20" t="n"/>
      <c r="C166" s="20" t="n"/>
      <c r="D166" s="20" t="n"/>
      <c r="E166" s="20" t="n"/>
      <c r="F166" s="20" t="n"/>
      <c r="G166" s="20" t="n"/>
      <c r="H166" s="30" t="n"/>
      <c r="I166" s="30" t="n"/>
      <c r="J166" s="30" t="n"/>
      <c r="K166" s="31">
        <f>IF($B166="","",IF(ISNUMBER($J166),$J166,$I166))</f>
        <v/>
      </c>
      <c r="L166" s="32">
        <f>IF($B166="","",IFERROR(VLOOKUP($G166,FXRates,4,FALSE),1))</f>
        <v/>
      </c>
      <c r="M166" s="33">
        <f>IF($B166="","",$H166*$K166*$L166)</f>
        <v/>
      </c>
      <c r="N166" s="21" t="n"/>
      <c r="O166" s="14">
        <f>IF($B166="","",IF($D166=CashLabel,IF(ISNUMBER($N166),$N166,1),MIN(IF(ISNUMBER($N166),$N166,IFERROR(VLOOKUP($D166,LVTable,2,FALSE),0)),LVCap)))</f>
        <v/>
      </c>
      <c r="P166" s="25">
        <f>IF($B166="","",$M166*$O166)</f>
        <v/>
      </c>
      <c r="Q166" s="16">
        <f>IF($B166="","",IFERROR(VLOOKUP($G166,FXRates,5,FALSE),$G166))</f>
        <v/>
      </c>
      <c r="R166" s="14">
        <f>IF($B166="","",IF($D166=CashLabel,"",SUMIFS($P$5:$P$204,$B$5:$B$204,$B166,$D$5:$D$204,"&lt;&gt;"&amp;CashLabel)/ConcDenom))</f>
        <v/>
      </c>
      <c r="S166" s="14">
        <f>IF($B166="","",IF($D166=CashLabel,"",SUMIFS($P$5:$P$204,$E$5:$E$204,$E166,$D$5:$D$204,"&lt;&gt;"&amp;CashLabel)/ConcDenom))</f>
        <v/>
      </c>
      <c r="T166" s="14">
        <f>IF($B166="","",IF($D166=CashLabel,"",SUMIFS($P$5:$P$204,$F$5:$F$204,$F166,$D$5:$D$204,"&lt;&gt;"&amp;CashLabel)/ConcDenom))</f>
        <v/>
      </c>
      <c r="U166" s="14">
        <f>IF($B166="","",IF($D166=CashLabel,"",SUMIFS($P$5:$P$204,$D$5:$D$204,$D166,$D$5:$D$204,"&lt;&gt;"&amp;CashLabel)/ConcDenom))</f>
        <v/>
      </c>
      <c r="V166" s="15">
        <f>IF($B166="","",IF($D166=CashLabel,1,IF($R166&gt;ThrSingle,ThrSingle/$R166,1)))</f>
        <v/>
      </c>
      <c r="W166" s="15">
        <f>IF($B166="","",IF($D166=CashLabel,1,IF($S166&gt;ThrIssuer,ThrIssuer/$S166,1)))</f>
        <v/>
      </c>
      <c r="X166" s="15">
        <f>IF($B166="","",IF($D166=CashLabel,1,IF($T166&gt;IFERROR(VLOOKUP($F166,CountryThr,2,FALSE),DefThrCountry),IFERROR(VLOOKUP($F166,CountryThr,2,FALSE),DefThrCountry)/$T166,1)))</f>
        <v/>
      </c>
      <c r="Y166" s="15">
        <f>IF($B166="","",IF($D166=CashLabel,1,IF($U166&gt;IFERROR(VLOOKUP($D166,LVTable,3,FALSE),DefThrAsset),IFERROR(VLOOKUP($D166,LVTable,3,FALSE),DefThrAsset)/$U166,1)))</f>
        <v/>
      </c>
      <c r="Z166" s="34">
        <f>IF($B166="","",IF($D166=CashLabel,1,MIN($V166:$Y166)))</f>
        <v/>
      </c>
      <c r="AA166" s="25">
        <f>IF($B166="","",$P166*$Z166)</f>
        <v/>
      </c>
      <c r="AB166" s="33">
        <f>IF($B166="","",$P166-$AA166)</f>
        <v/>
      </c>
      <c r="AC166" s="21" t="n"/>
      <c r="AD166" s="33">
        <f>IF($B166="","",$M166*(1+IF(ISNUMBER($AC166),$AC166,0)))</f>
        <v/>
      </c>
      <c r="AE166" s="33">
        <f>IF($B166="","",$AD166*$O166)</f>
        <v/>
      </c>
      <c r="AF166" s="14">
        <f>IF($B166="","",IF($D166=CashLabel,"",SUMIFS($AE$5:$AE$204,$B$5:$B$204,$B166,$D$5:$D$204,"&lt;&gt;"&amp;CashLabel)/ConcDenomStr))</f>
        <v/>
      </c>
      <c r="AG166" s="14">
        <f>IF($B166="","",IF($D166=CashLabel,"",SUMIFS($AE$5:$AE$204,$E$5:$E$204,$E166,$D$5:$D$204,"&lt;&gt;"&amp;CashLabel)/ConcDenomStr))</f>
        <v/>
      </c>
      <c r="AH166" s="14">
        <f>IF($B166="","",IF($D166=CashLabel,"",SUMIFS($AE$5:$AE$204,$F$5:$F$204,$F166,$D$5:$D$204,"&lt;&gt;"&amp;CashLabel)/ConcDenomStr))</f>
        <v/>
      </c>
      <c r="AI166" s="14">
        <f>IF($B166="","",IF($D166=CashLabel,"",SUMIFS($AE$5:$AE$204,$D$5:$D$204,$D166,$D$5:$D$204,"&lt;&gt;"&amp;CashLabel)/ConcDenomStr))</f>
        <v/>
      </c>
      <c r="AJ166" s="15">
        <f>IF($B166="","",IF($D166=CashLabel,1,MIN(IF($AF166&gt;ThrSingle,ThrSingle/$AF166,1),IF($AG166&gt;ThrIssuer,ThrIssuer/$AG166,1),IF($AH166&gt;IFERROR(VLOOKUP($F166,CountryThr,2,FALSE),DefThrCountry),IFERROR(VLOOKUP($F166,CountryThr,2,FALSE),DefThrCountry)/$AH166,1),IF($AI166&gt;IFERROR(VLOOKUP($D166,LVTable,3,FALSE),DefThrAsset),IFERROR(VLOOKUP($D166,LVTable,3,FALSE),DefThrAsset)/$AI166,1))))</f>
        <v/>
      </c>
      <c r="AK166" s="33">
        <f>IF($B166="","",$AE166*$AJ166)</f>
        <v/>
      </c>
    </row>
    <row r="167">
      <c r="A167" s="16">
        <f>IF($B167="","",ROW()-4)</f>
        <v/>
      </c>
      <c r="B167" s="20" t="n"/>
      <c r="C167" s="20" t="n"/>
      <c r="D167" s="20" t="n"/>
      <c r="E167" s="20" t="n"/>
      <c r="F167" s="20" t="n"/>
      <c r="G167" s="20" t="n"/>
      <c r="H167" s="30" t="n"/>
      <c r="I167" s="30" t="n"/>
      <c r="J167" s="30" t="n"/>
      <c r="K167" s="31">
        <f>IF($B167="","",IF(ISNUMBER($J167),$J167,$I167))</f>
        <v/>
      </c>
      <c r="L167" s="32">
        <f>IF($B167="","",IFERROR(VLOOKUP($G167,FXRates,4,FALSE),1))</f>
        <v/>
      </c>
      <c r="M167" s="33">
        <f>IF($B167="","",$H167*$K167*$L167)</f>
        <v/>
      </c>
      <c r="N167" s="21" t="n"/>
      <c r="O167" s="14">
        <f>IF($B167="","",IF($D167=CashLabel,IF(ISNUMBER($N167),$N167,1),MIN(IF(ISNUMBER($N167),$N167,IFERROR(VLOOKUP($D167,LVTable,2,FALSE),0)),LVCap)))</f>
        <v/>
      </c>
      <c r="P167" s="25">
        <f>IF($B167="","",$M167*$O167)</f>
        <v/>
      </c>
      <c r="Q167" s="16">
        <f>IF($B167="","",IFERROR(VLOOKUP($G167,FXRates,5,FALSE),$G167))</f>
        <v/>
      </c>
      <c r="R167" s="14">
        <f>IF($B167="","",IF($D167=CashLabel,"",SUMIFS($P$5:$P$204,$B$5:$B$204,$B167,$D$5:$D$204,"&lt;&gt;"&amp;CashLabel)/ConcDenom))</f>
        <v/>
      </c>
      <c r="S167" s="14">
        <f>IF($B167="","",IF($D167=CashLabel,"",SUMIFS($P$5:$P$204,$E$5:$E$204,$E167,$D$5:$D$204,"&lt;&gt;"&amp;CashLabel)/ConcDenom))</f>
        <v/>
      </c>
      <c r="T167" s="14">
        <f>IF($B167="","",IF($D167=CashLabel,"",SUMIFS($P$5:$P$204,$F$5:$F$204,$F167,$D$5:$D$204,"&lt;&gt;"&amp;CashLabel)/ConcDenom))</f>
        <v/>
      </c>
      <c r="U167" s="14">
        <f>IF($B167="","",IF($D167=CashLabel,"",SUMIFS($P$5:$P$204,$D$5:$D$204,$D167,$D$5:$D$204,"&lt;&gt;"&amp;CashLabel)/ConcDenom))</f>
        <v/>
      </c>
      <c r="V167" s="15">
        <f>IF($B167="","",IF($D167=CashLabel,1,IF($R167&gt;ThrSingle,ThrSingle/$R167,1)))</f>
        <v/>
      </c>
      <c r="W167" s="15">
        <f>IF($B167="","",IF($D167=CashLabel,1,IF($S167&gt;ThrIssuer,ThrIssuer/$S167,1)))</f>
        <v/>
      </c>
      <c r="X167" s="15">
        <f>IF($B167="","",IF($D167=CashLabel,1,IF($T167&gt;IFERROR(VLOOKUP($F167,CountryThr,2,FALSE),DefThrCountry),IFERROR(VLOOKUP($F167,CountryThr,2,FALSE),DefThrCountry)/$T167,1)))</f>
        <v/>
      </c>
      <c r="Y167" s="15">
        <f>IF($B167="","",IF($D167=CashLabel,1,IF($U167&gt;IFERROR(VLOOKUP($D167,LVTable,3,FALSE),DefThrAsset),IFERROR(VLOOKUP($D167,LVTable,3,FALSE),DefThrAsset)/$U167,1)))</f>
        <v/>
      </c>
      <c r="Z167" s="34">
        <f>IF($B167="","",IF($D167=CashLabel,1,MIN($V167:$Y167)))</f>
        <v/>
      </c>
      <c r="AA167" s="25">
        <f>IF($B167="","",$P167*$Z167)</f>
        <v/>
      </c>
      <c r="AB167" s="33">
        <f>IF($B167="","",$P167-$AA167)</f>
        <v/>
      </c>
      <c r="AC167" s="21" t="n"/>
      <c r="AD167" s="33">
        <f>IF($B167="","",$M167*(1+IF(ISNUMBER($AC167),$AC167,0)))</f>
        <v/>
      </c>
      <c r="AE167" s="33">
        <f>IF($B167="","",$AD167*$O167)</f>
        <v/>
      </c>
      <c r="AF167" s="14">
        <f>IF($B167="","",IF($D167=CashLabel,"",SUMIFS($AE$5:$AE$204,$B$5:$B$204,$B167,$D$5:$D$204,"&lt;&gt;"&amp;CashLabel)/ConcDenomStr))</f>
        <v/>
      </c>
      <c r="AG167" s="14">
        <f>IF($B167="","",IF($D167=CashLabel,"",SUMIFS($AE$5:$AE$204,$E$5:$E$204,$E167,$D$5:$D$204,"&lt;&gt;"&amp;CashLabel)/ConcDenomStr))</f>
        <v/>
      </c>
      <c r="AH167" s="14">
        <f>IF($B167="","",IF($D167=CashLabel,"",SUMIFS($AE$5:$AE$204,$F$5:$F$204,$F167,$D$5:$D$204,"&lt;&gt;"&amp;CashLabel)/ConcDenomStr))</f>
        <v/>
      </c>
      <c r="AI167" s="14">
        <f>IF($B167="","",IF($D167=CashLabel,"",SUMIFS($AE$5:$AE$204,$D$5:$D$204,$D167,$D$5:$D$204,"&lt;&gt;"&amp;CashLabel)/ConcDenomStr))</f>
        <v/>
      </c>
      <c r="AJ167" s="15">
        <f>IF($B167="","",IF($D167=CashLabel,1,MIN(IF($AF167&gt;ThrSingle,ThrSingle/$AF167,1),IF($AG167&gt;ThrIssuer,ThrIssuer/$AG167,1),IF($AH167&gt;IFERROR(VLOOKUP($F167,CountryThr,2,FALSE),DefThrCountry),IFERROR(VLOOKUP($F167,CountryThr,2,FALSE),DefThrCountry)/$AH167,1),IF($AI167&gt;IFERROR(VLOOKUP($D167,LVTable,3,FALSE),DefThrAsset),IFERROR(VLOOKUP($D167,LVTable,3,FALSE),DefThrAsset)/$AI167,1))))</f>
        <v/>
      </c>
      <c r="AK167" s="33">
        <f>IF($B167="","",$AE167*$AJ167)</f>
        <v/>
      </c>
    </row>
    <row r="168">
      <c r="A168" s="16">
        <f>IF($B168="","",ROW()-4)</f>
        <v/>
      </c>
      <c r="B168" s="20" t="n"/>
      <c r="C168" s="20" t="n"/>
      <c r="D168" s="20" t="n"/>
      <c r="E168" s="20" t="n"/>
      <c r="F168" s="20" t="n"/>
      <c r="G168" s="20" t="n"/>
      <c r="H168" s="30" t="n"/>
      <c r="I168" s="30" t="n"/>
      <c r="J168" s="30" t="n"/>
      <c r="K168" s="31">
        <f>IF($B168="","",IF(ISNUMBER($J168),$J168,$I168))</f>
        <v/>
      </c>
      <c r="L168" s="32">
        <f>IF($B168="","",IFERROR(VLOOKUP($G168,FXRates,4,FALSE),1))</f>
        <v/>
      </c>
      <c r="M168" s="33">
        <f>IF($B168="","",$H168*$K168*$L168)</f>
        <v/>
      </c>
      <c r="N168" s="21" t="n"/>
      <c r="O168" s="14">
        <f>IF($B168="","",IF($D168=CashLabel,IF(ISNUMBER($N168),$N168,1),MIN(IF(ISNUMBER($N168),$N168,IFERROR(VLOOKUP($D168,LVTable,2,FALSE),0)),LVCap)))</f>
        <v/>
      </c>
      <c r="P168" s="25">
        <f>IF($B168="","",$M168*$O168)</f>
        <v/>
      </c>
      <c r="Q168" s="16">
        <f>IF($B168="","",IFERROR(VLOOKUP($G168,FXRates,5,FALSE),$G168))</f>
        <v/>
      </c>
      <c r="R168" s="14">
        <f>IF($B168="","",IF($D168=CashLabel,"",SUMIFS($P$5:$P$204,$B$5:$B$204,$B168,$D$5:$D$204,"&lt;&gt;"&amp;CashLabel)/ConcDenom))</f>
        <v/>
      </c>
      <c r="S168" s="14">
        <f>IF($B168="","",IF($D168=CashLabel,"",SUMIFS($P$5:$P$204,$E$5:$E$204,$E168,$D$5:$D$204,"&lt;&gt;"&amp;CashLabel)/ConcDenom))</f>
        <v/>
      </c>
      <c r="T168" s="14">
        <f>IF($B168="","",IF($D168=CashLabel,"",SUMIFS($P$5:$P$204,$F$5:$F$204,$F168,$D$5:$D$204,"&lt;&gt;"&amp;CashLabel)/ConcDenom))</f>
        <v/>
      </c>
      <c r="U168" s="14">
        <f>IF($B168="","",IF($D168=CashLabel,"",SUMIFS($P$5:$P$204,$D$5:$D$204,$D168,$D$5:$D$204,"&lt;&gt;"&amp;CashLabel)/ConcDenom))</f>
        <v/>
      </c>
      <c r="V168" s="15">
        <f>IF($B168="","",IF($D168=CashLabel,1,IF($R168&gt;ThrSingle,ThrSingle/$R168,1)))</f>
        <v/>
      </c>
      <c r="W168" s="15">
        <f>IF($B168="","",IF($D168=CashLabel,1,IF($S168&gt;ThrIssuer,ThrIssuer/$S168,1)))</f>
        <v/>
      </c>
      <c r="X168" s="15">
        <f>IF($B168="","",IF($D168=CashLabel,1,IF($T168&gt;IFERROR(VLOOKUP($F168,CountryThr,2,FALSE),DefThrCountry),IFERROR(VLOOKUP($F168,CountryThr,2,FALSE),DefThrCountry)/$T168,1)))</f>
        <v/>
      </c>
      <c r="Y168" s="15">
        <f>IF($B168="","",IF($D168=CashLabel,1,IF($U168&gt;IFERROR(VLOOKUP($D168,LVTable,3,FALSE),DefThrAsset),IFERROR(VLOOKUP($D168,LVTable,3,FALSE),DefThrAsset)/$U168,1)))</f>
        <v/>
      </c>
      <c r="Z168" s="34">
        <f>IF($B168="","",IF($D168=CashLabel,1,MIN($V168:$Y168)))</f>
        <v/>
      </c>
      <c r="AA168" s="25">
        <f>IF($B168="","",$P168*$Z168)</f>
        <v/>
      </c>
      <c r="AB168" s="33">
        <f>IF($B168="","",$P168-$AA168)</f>
        <v/>
      </c>
      <c r="AC168" s="21" t="n"/>
      <c r="AD168" s="33">
        <f>IF($B168="","",$M168*(1+IF(ISNUMBER($AC168),$AC168,0)))</f>
        <v/>
      </c>
      <c r="AE168" s="33">
        <f>IF($B168="","",$AD168*$O168)</f>
        <v/>
      </c>
      <c r="AF168" s="14">
        <f>IF($B168="","",IF($D168=CashLabel,"",SUMIFS($AE$5:$AE$204,$B$5:$B$204,$B168,$D$5:$D$204,"&lt;&gt;"&amp;CashLabel)/ConcDenomStr))</f>
        <v/>
      </c>
      <c r="AG168" s="14">
        <f>IF($B168="","",IF($D168=CashLabel,"",SUMIFS($AE$5:$AE$204,$E$5:$E$204,$E168,$D$5:$D$204,"&lt;&gt;"&amp;CashLabel)/ConcDenomStr))</f>
        <v/>
      </c>
      <c r="AH168" s="14">
        <f>IF($B168="","",IF($D168=CashLabel,"",SUMIFS($AE$5:$AE$204,$F$5:$F$204,$F168,$D$5:$D$204,"&lt;&gt;"&amp;CashLabel)/ConcDenomStr))</f>
        <v/>
      </c>
      <c r="AI168" s="14">
        <f>IF($B168="","",IF($D168=CashLabel,"",SUMIFS($AE$5:$AE$204,$D$5:$D$204,$D168,$D$5:$D$204,"&lt;&gt;"&amp;CashLabel)/ConcDenomStr))</f>
        <v/>
      </c>
      <c r="AJ168" s="15">
        <f>IF($B168="","",IF($D168=CashLabel,1,MIN(IF($AF168&gt;ThrSingle,ThrSingle/$AF168,1),IF($AG168&gt;ThrIssuer,ThrIssuer/$AG168,1),IF($AH168&gt;IFERROR(VLOOKUP($F168,CountryThr,2,FALSE),DefThrCountry),IFERROR(VLOOKUP($F168,CountryThr,2,FALSE),DefThrCountry)/$AH168,1),IF($AI168&gt;IFERROR(VLOOKUP($D168,LVTable,3,FALSE),DefThrAsset),IFERROR(VLOOKUP($D168,LVTable,3,FALSE),DefThrAsset)/$AI168,1))))</f>
        <v/>
      </c>
      <c r="AK168" s="33">
        <f>IF($B168="","",$AE168*$AJ168)</f>
        <v/>
      </c>
    </row>
    <row r="169">
      <c r="A169" s="16">
        <f>IF($B169="","",ROW()-4)</f>
        <v/>
      </c>
      <c r="B169" s="20" t="n"/>
      <c r="C169" s="20" t="n"/>
      <c r="D169" s="20" t="n"/>
      <c r="E169" s="20" t="n"/>
      <c r="F169" s="20" t="n"/>
      <c r="G169" s="20" t="n"/>
      <c r="H169" s="30" t="n"/>
      <c r="I169" s="30" t="n"/>
      <c r="J169" s="30" t="n"/>
      <c r="K169" s="31">
        <f>IF($B169="","",IF(ISNUMBER($J169),$J169,$I169))</f>
        <v/>
      </c>
      <c r="L169" s="32">
        <f>IF($B169="","",IFERROR(VLOOKUP($G169,FXRates,4,FALSE),1))</f>
        <v/>
      </c>
      <c r="M169" s="33">
        <f>IF($B169="","",$H169*$K169*$L169)</f>
        <v/>
      </c>
      <c r="N169" s="21" t="n"/>
      <c r="O169" s="14">
        <f>IF($B169="","",IF($D169=CashLabel,IF(ISNUMBER($N169),$N169,1),MIN(IF(ISNUMBER($N169),$N169,IFERROR(VLOOKUP($D169,LVTable,2,FALSE),0)),LVCap)))</f>
        <v/>
      </c>
      <c r="P169" s="25">
        <f>IF($B169="","",$M169*$O169)</f>
        <v/>
      </c>
      <c r="Q169" s="16">
        <f>IF($B169="","",IFERROR(VLOOKUP($G169,FXRates,5,FALSE),$G169))</f>
        <v/>
      </c>
      <c r="R169" s="14">
        <f>IF($B169="","",IF($D169=CashLabel,"",SUMIFS($P$5:$P$204,$B$5:$B$204,$B169,$D$5:$D$204,"&lt;&gt;"&amp;CashLabel)/ConcDenom))</f>
        <v/>
      </c>
      <c r="S169" s="14">
        <f>IF($B169="","",IF($D169=CashLabel,"",SUMIFS($P$5:$P$204,$E$5:$E$204,$E169,$D$5:$D$204,"&lt;&gt;"&amp;CashLabel)/ConcDenom))</f>
        <v/>
      </c>
      <c r="T169" s="14">
        <f>IF($B169="","",IF($D169=CashLabel,"",SUMIFS($P$5:$P$204,$F$5:$F$204,$F169,$D$5:$D$204,"&lt;&gt;"&amp;CashLabel)/ConcDenom))</f>
        <v/>
      </c>
      <c r="U169" s="14">
        <f>IF($B169="","",IF($D169=CashLabel,"",SUMIFS($P$5:$P$204,$D$5:$D$204,$D169,$D$5:$D$204,"&lt;&gt;"&amp;CashLabel)/ConcDenom))</f>
        <v/>
      </c>
      <c r="V169" s="15">
        <f>IF($B169="","",IF($D169=CashLabel,1,IF($R169&gt;ThrSingle,ThrSingle/$R169,1)))</f>
        <v/>
      </c>
      <c r="W169" s="15">
        <f>IF($B169="","",IF($D169=CashLabel,1,IF($S169&gt;ThrIssuer,ThrIssuer/$S169,1)))</f>
        <v/>
      </c>
      <c r="X169" s="15">
        <f>IF($B169="","",IF($D169=CashLabel,1,IF($T169&gt;IFERROR(VLOOKUP($F169,CountryThr,2,FALSE),DefThrCountry),IFERROR(VLOOKUP($F169,CountryThr,2,FALSE),DefThrCountry)/$T169,1)))</f>
        <v/>
      </c>
      <c r="Y169" s="15">
        <f>IF($B169="","",IF($D169=CashLabel,1,IF($U169&gt;IFERROR(VLOOKUP($D169,LVTable,3,FALSE),DefThrAsset),IFERROR(VLOOKUP($D169,LVTable,3,FALSE),DefThrAsset)/$U169,1)))</f>
        <v/>
      </c>
      <c r="Z169" s="34">
        <f>IF($B169="","",IF($D169=CashLabel,1,MIN($V169:$Y169)))</f>
        <v/>
      </c>
      <c r="AA169" s="25">
        <f>IF($B169="","",$P169*$Z169)</f>
        <v/>
      </c>
      <c r="AB169" s="33">
        <f>IF($B169="","",$P169-$AA169)</f>
        <v/>
      </c>
      <c r="AC169" s="21" t="n"/>
      <c r="AD169" s="33">
        <f>IF($B169="","",$M169*(1+IF(ISNUMBER($AC169),$AC169,0)))</f>
        <v/>
      </c>
      <c r="AE169" s="33">
        <f>IF($B169="","",$AD169*$O169)</f>
        <v/>
      </c>
      <c r="AF169" s="14">
        <f>IF($B169="","",IF($D169=CashLabel,"",SUMIFS($AE$5:$AE$204,$B$5:$B$204,$B169,$D$5:$D$204,"&lt;&gt;"&amp;CashLabel)/ConcDenomStr))</f>
        <v/>
      </c>
      <c r="AG169" s="14">
        <f>IF($B169="","",IF($D169=CashLabel,"",SUMIFS($AE$5:$AE$204,$E$5:$E$204,$E169,$D$5:$D$204,"&lt;&gt;"&amp;CashLabel)/ConcDenomStr))</f>
        <v/>
      </c>
      <c r="AH169" s="14">
        <f>IF($B169="","",IF($D169=CashLabel,"",SUMIFS($AE$5:$AE$204,$F$5:$F$204,$F169,$D$5:$D$204,"&lt;&gt;"&amp;CashLabel)/ConcDenomStr))</f>
        <v/>
      </c>
      <c r="AI169" s="14">
        <f>IF($B169="","",IF($D169=CashLabel,"",SUMIFS($AE$5:$AE$204,$D$5:$D$204,$D169,$D$5:$D$204,"&lt;&gt;"&amp;CashLabel)/ConcDenomStr))</f>
        <v/>
      </c>
      <c r="AJ169" s="15">
        <f>IF($B169="","",IF($D169=CashLabel,1,MIN(IF($AF169&gt;ThrSingle,ThrSingle/$AF169,1),IF($AG169&gt;ThrIssuer,ThrIssuer/$AG169,1),IF($AH169&gt;IFERROR(VLOOKUP($F169,CountryThr,2,FALSE),DefThrCountry),IFERROR(VLOOKUP($F169,CountryThr,2,FALSE),DefThrCountry)/$AH169,1),IF($AI169&gt;IFERROR(VLOOKUP($D169,LVTable,3,FALSE),DefThrAsset),IFERROR(VLOOKUP($D169,LVTable,3,FALSE),DefThrAsset)/$AI169,1))))</f>
        <v/>
      </c>
      <c r="AK169" s="33">
        <f>IF($B169="","",$AE169*$AJ169)</f>
        <v/>
      </c>
    </row>
    <row r="170">
      <c r="A170" s="16">
        <f>IF($B170="","",ROW()-4)</f>
        <v/>
      </c>
      <c r="B170" s="20" t="n"/>
      <c r="C170" s="20" t="n"/>
      <c r="D170" s="20" t="n"/>
      <c r="E170" s="20" t="n"/>
      <c r="F170" s="20" t="n"/>
      <c r="G170" s="20" t="n"/>
      <c r="H170" s="30" t="n"/>
      <c r="I170" s="30" t="n"/>
      <c r="J170" s="30" t="n"/>
      <c r="K170" s="31">
        <f>IF($B170="","",IF(ISNUMBER($J170),$J170,$I170))</f>
        <v/>
      </c>
      <c r="L170" s="32">
        <f>IF($B170="","",IFERROR(VLOOKUP($G170,FXRates,4,FALSE),1))</f>
        <v/>
      </c>
      <c r="M170" s="33">
        <f>IF($B170="","",$H170*$K170*$L170)</f>
        <v/>
      </c>
      <c r="N170" s="21" t="n"/>
      <c r="O170" s="14">
        <f>IF($B170="","",IF($D170=CashLabel,IF(ISNUMBER($N170),$N170,1),MIN(IF(ISNUMBER($N170),$N170,IFERROR(VLOOKUP($D170,LVTable,2,FALSE),0)),LVCap)))</f>
        <v/>
      </c>
      <c r="P170" s="25">
        <f>IF($B170="","",$M170*$O170)</f>
        <v/>
      </c>
      <c r="Q170" s="16">
        <f>IF($B170="","",IFERROR(VLOOKUP($G170,FXRates,5,FALSE),$G170))</f>
        <v/>
      </c>
      <c r="R170" s="14">
        <f>IF($B170="","",IF($D170=CashLabel,"",SUMIFS($P$5:$P$204,$B$5:$B$204,$B170,$D$5:$D$204,"&lt;&gt;"&amp;CashLabel)/ConcDenom))</f>
        <v/>
      </c>
      <c r="S170" s="14">
        <f>IF($B170="","",IF($D170=CashLabel,"",SUMIFS($P$5:$P$204,$E$5:$E$204,$E170,$D$5:$D$204,"&lt;&gt;"&amp;CashLabel)/ConcDenom))</f>
        <v/>
      </c>
      <c r="T170" s="14">
        <f>IF($B170="","",IF($D170=CashLabel,"",SUMIFS($P$5:$P$204,$F$5:$F$204,$F170,$D$5:$D$204,"&lt;&gt;"&amp;CashLabel)/ConcDenom))</f>
        <v/>
      </c>
      <c r="U170" s="14">
        <f>IF($B170="","",IF($D170=CashLabel,"",SUMIFS($P$5:$P$204,$D$5:$D$204,$D170,$D$5:$D$204,"&lt;&gt;"&amp;CashLabel)/ConcDenom))</f>
        <v/>
      </c>
      <c r="V170" s="15">
        <f>IF($B170="","",IF($D170=CashLabel,1,IF($R170&gt;ThrSingle,ThrSingle/$R170,1)))</f>
        <v/>
      </c>
      <c r="W170" s="15">
        <f>IF($B170="","",IF($D170=CashLabel,1,IF($S170&gt;ThrIssuer,ThrIssuer/$S170,1)))</f>
        <v/>
      </c>
      <c r="X170" s="15">
        <f>IF($B170="","",IF($D170=CashLabel,1,IF($T170&gt;IFERROR(VLOOKUP($F170,CountryThr,2,FALSE),DefThrCountry),IFERROR(VLOOKUP($F170,CountryThr,2,FALSE),DefThrCountry)/$T170,1)))</f>
        <v/>
      </c>
      <c r="Y170" s="15">
        <f>IF($B170="","",IF($D170=CashLabel,1,IF($U170&gt;IFERROR(VLOOKUP($D170,LVTable,3,FALSE),DefThrAsset),IFERROR(VLOOKUP($D170,LVTable,3,FALSE),DefThrAsset)/$U170,1)))</f>
        <v/>
      </c>
      <c r="Z170" s="34">
        <f>IF($B170="","",IF($D170=CashLabel,1,MIN($V170:$Y170)))</f>
        <v/>
      </c>
      <c r="AA170" s="25">
        <f>IF($B170="","",$P170*$Z170)</f>
        <v/>
      </c>
      <c r="AB170" s="33">
        <f>IF($B170="","",$P170-$AA170)</f>
        <v/>
      </c>
      <c r="AC170" s="21" t="n"/>
      <c r="AD170" s="33">
        <f>IF($B170="","",$M170*(1+IF(ISNUMBER($AC170),$AC170,0)))</f>
        <v/>
      </c>
      <c r="AE170" s="33">
        <f>IF($B170="","",$AD170*$O170)</f>
        <v/>
      </c>
      <c r="AF170" s="14">
        <f>IF($B170="","",IF($D170=CashLabel,"",SUMIFS($AE$5:$AE$204,$B$5:$B$204,$B170,$D$5:$D$204,"&lt;&gt;"&amp;CashLabel)/ConcDenomStr))</f>
        <v/>
      </c>
      <c r="AG170" s="14">
        <f>IF($B170="","",IF($D170=CashLabel,"",SUMIFS($AE$5:$AE$204,$E$5:$E$204,$E170,$D$5:$D$204,"&lt;&gt;"&amp;CashLabel)/ConcDenomStr))</f>
        <v/>
      </c>
      <c r="AH170" s="14">
        <f>IF($B170="","",IF($D170=CashLabel,"",SUMIFS($AE$5:$AE$204,$F$5:$F$204,$F170,$D$5:$D$204,"&lt;&gt;"&amp;CashLabel)/ConcDenomStr))</f>
        <v/>
      </c>
      <c r="AI170" s="14">
        <f>IF($B170="","",IF($D170=CashLabel,"",SUMIFS($AE$5:$AE$204,$D$5:$D$204,$D170,$D$5:$D$204,"&lt;&gt;"&amp;CashLabel)/ConcDenomStr))</f>
        <v/>
      </c>
      <c r="AJ170" s="15">
        <f>IF($B170="","",IF($D170=CashLabel,1,MIN(IF($AF170&gt;ThrSingle,ThrSingle/$AF170,1),IF($AG170&gt;ThrIssuer,ThrIssuer/$AG170,1),IF($AH170&gt;IFERROR(VLOOKUP($F170,CountryThr,2,FALSE),DefThrCountry),IFERROR(VLOOKUP($F170,CountryThr,2,FALSE),DefThrCountry)/$AH170,1),IF($AI170&gt;IFERROR(VLOOKUP($D170,LVTable,3,FALSE),DefThrAsset),IFERROR(VLOOKUP($D170,LVTable,3,FALSE),DefThrAsset)/$AI170,1))))</f>
        <v/>
      </c>
      <c r="AK170" s="33">
        <f>IF($B170="","",$AE170*$AJ170)</f>
        <v/>
      </c>
    </row>
    <row r="171">
      <c r="A171" s="16">
        <f>IF($B171="","",ROW()-4)</f>
        <v/>
      </c>
      <c r="B171" s="20" t="n"/>
      <c r="C171" s="20" t="n"/>
      <c r="D171" s="20" t="n"/>
      <c r="E171" s="20" t="n"/>
      <c r="F171" s="20" t="n"/>
      <c r="G171" s="20" t="n"/>
      <c r="H171" s="30" t="n"/>
      <c r="I171" s="30" t="n"/>
      <c r="J171" s="30" t="n"/>
      <c r="K171" s="31">
        <f>IF($B171="","",IF(ISNUMBER($J171),$J171,$I171))</f>
        <v/>
      </c>
      <c r="L171" s="32">
        <f>IF($B171="","",IFERROR(VLOOKUP($G171,FXRates,4,FALSE),1))</f>
        <v/>
      </c>
      <c r="M171" s="33">
        <f>IF($B171="","",$H171*$K171*$L171)</f>
        <v/>
      </c>
      <c r="N171" s="21" t="n"/>
      <c r="O171" s="14">
        <f>IF($B171="","",IF($D171=CashLabel,IF(ISNUMBER($N171),$N171,1),MIN(IF(ISNUMBER($N171),$N171,IFERROR(VLOOKUP($D171,LVTable,2,FALSE),0)),LVCap)))</f>
        <v/>
      </c>
      <c r="P171" s="25">
        <f>IF($B171="","",$M171*$O171)</f>
        <v/>
      </c>
      <c r="Q171" s="16">
        <f>IF($B171="","",IFERROR(VLOOKUP($G171,FXRates,5,FALSE),$G171))</f>
        <v/>
      </c>
      <c r="R171" s="14">
        <f>IF($B171="","",IF($D171=CashLabel,"",SUMIFS($P$5:$P$204,$B$5:$B$204,$B171,$D$5:$D$204,"&lt;&gt;"&amp;CashLabel)/ConcDenom))</f>
        <v/>
      </c>
      <c r="S171" s="14">
        <f>IF($B171="","",IF($D171=CashLabel,"",SUMIFS($P$5:$P$204,$E$5:$E$204,$E171,$D$5:$D$204,"&lt;&gt;"&amp;CashLabel)/ConcDenom))</f>
        <v/>
      </c>
      <c r="T171" s="14">
        <f>IF($B171="","",IF($D171=CashLabel,"",SUMIFS($P$5:$P$204,$F$5:$F$204,$F171,$D$5:$D$204,"&lt;&gt;"&amp;CashLabel)/ConcDenom))</f>
        <v/>
      </c>
      <c r="U171" s="14">
        <f>IF($B171="","",IF($D171=CashLabel,"",SUMIFS($P$5:$P$204,$D$5:$D$204,$D171,$D$5:$D$204,"&lt;&gt;"&amp;CashLabel)/ConcDenom))</f>
        <v/>
      </c>
      <c r="V171" s="15">
        <f>IF($B171="","",IF($D171=CashLabel,1,IF($R171&gt;ThrSingle,ThrSingle/$R171,1)))</f>
        <v/>
      </c>
      <c r="W171" s="15">
        <f>IF($B171="","",IF($D171=CashLabel,1,IF($S171&gt;ThrIssuer,ThrIssuer/$S171,1)))</f>
        <v/>
      </c>
      <c r="X171" s="15">
        <f>IF($B171="","",IF($D171=CashLabel,1,IF($T171&gt;IFERROR(VLOOKUP($F171,CountryThr,2,FALSE),DefThrCountry),IFERROR(VLOOKUP($F171,CountryThr,2,FALSE),DefThrCountry)/$T171,1)))</f>
        <v/>
      </c>
      <c r="Y171" s="15">
        <f>IF($B171="","",IF($D171=CashLabel,1,IF($U171&gt;IFERROR(VLOOKUP($D171,LVTable,3,FALSE),DefThrAsset),IFERROR(VLOOKUP($D171,LVTable,3,FALSE),DefThrAsset)/$U171,1)))</f>
        <v/>
      </c>
      <c r="Z171" s="34">
        <f>IF($B171="","",IF($D171=CashLabel,1,MIN($V171:$Y171)))</f>
        <v/>
      </c>
      <c r="AA171" s="25">
        <f>IF($B171="","",$P171*$Z171)</f>
        <v/>
      </c>
      <c r="AB171" s="33">
        <f>IF($B171="","",$P171-$AA171)</f>
        <v/>
      </c>
      <c r="AC171" s="21" t="n"/>
      <c r="AD171" s="33">
        <f>IF($B171="","",$M171*(1+IF(ISNUMBER($AC171),$AC171,0)))</f>
        <v/>
      </c>
      <c r="AE171" s="33">
        <f>IF($B171="","",$AD171*$O171)</f>
        <v/>
      </c>
      <c r="AF171" s="14">
        <f>IF($B171="","",IF($D171=CashLabel,"",SUMIFS($AE$5:$AE$204,$B$5:$B$204,$B171,$D$5:$D$204,"&lt;&gt;"&amp;CashLabel)/ConcDenomStr))</f>
        <v/>
      </c>
      <c r="AG171" s="14">
        <f>IF($B171="","",IF($D171=CashLabel,"",SUMIFS($AE$5:$AE$204,$E$5:$E$204,$E171,$D$5:$D$204,"&lt;&gt;"&amp;CashLabel)/ConcDenomStr))</f>
        <v/>
      </c>
      <c r="AH171" s="14">
        <f>IF($B171="","",IF($D171=CashLabel,"",SUMIFS($AE$5:$AE$204,$F$5:$F$204,$F171,$D$5:$D$204,"&lt;&gt;"&amp;CashLabel)/ConcDenomStr))</f>
        <v/>
      </c>
      <c r="AI171" s="14">
        <f>IF($B171="","",IF($D171=CashLabel,"",SUMIFS($AE$5:$AE$204,$D$5:$D$204,$D171,$D$5:$D$204,"&lt;&gt;"&amp;CashLabel)/ConcDenomStr))</f>
        <v/>
      </c>
      <c r="AJ171" s="15">
        <f>IF($B171="","",IF($D171=CashLabel,1,MIN(IF($AF171&gt;ThrSingle,ThrSingle/$AF171,1),IF($AG171&gt;ThrIssuer,ThrIssuer/$AG171,1),IF($AH171&gt;IFERROR(VLOOKUP($F171,CountryThr,2,FALSE),DefThrCountry),IFERROR(VLOOKUP($F171,CountryThr,2,FALSE),DefThrCountry)/$AH171,1),IF($AI171&gt;IFERROR(VLOOKUP($D171,LVTable,3,FALSE),DefThrAsset),IFERROR(VLOOKUP($D171,LVTable,3,FALSE),DefThrAsset)/$AI171,1))))</f>
        <v/>
      </c>
      <c r="AK171" s="33">
        <f>IF($B171="","",$AE171*$AJ171)</f>
        <v/>
      </c>
    </row>
    <row r="172">
      <c r="A172" s="16">
        <f>IF($B172="","",ROW()-4)</f>
        <v/>
      </c>
      <c r="B172" s="20" t="n"/>
      <c r="C172" s="20" t="n"/>
      <c r="D172" s="20" t="n"/>
      <c r="E172" s="20" t="n"/>
      <c r="F172" s="20" t="n"/>
      <c r="G172" s="20" t="n"/>
      <c r="H172" s="30" t="n"/>
      <c r="I172" s="30" t="n"/>
      <c r="J172" s="30" t="n"/>
      <c r="K172" s="31">
        <f>IF($B172="","",IF(ISNUMBER($J172),$J172,$I172))</f>
        <v/>
      </c>
      <c r="L172" s="32">
        <f>IF($B172="","",IFERROR(VLOOKUP($G172,FXRates,4,FALSE),1))</f>
        <v/>
      </c>
      <c r="M172" s="33">
        <f>IF($B172="","",$H172*$K172*$L172)</f>
        <v/>
      </c>
      <c r="N172" s="21" t="n"/>
      <c r="O172" s="14">
        <f>IF($B172="","",IF($D172=CashLabel,IF(ISNUMBER($N172),$N172,1),MIN(IF(ISNUMBER($N172),$N172,IFERROR(VLOOKUP($D172,LVTable,2,FALSE),0)),LVCap)))</f>
        <v/>
      </c>
      <c r="P172" s="25">
        <f>IF($B172="","",$M172*$O172)</f>
        <v/>
      </c>
      <c r="Q172" s="16">
        <f>IF($B172="","",IFERROR(VLOOKUP($G172,FXRates,5,FALSE),$G172))</f>
        <v/>
      </c>
      <c r="R172" s="14">
        <f>IF($B172="","",IF($D172=CashLabel,"",SUMIFS($P$5:$P$204,$B$5:$B$204,$B172,$D$5:$D$204,"&lt;&gt;"&amp;CashLabel)/ConcDenom))</f>
        <v/>
      </c>
      <c r="S172" s="14">
        <f>IF($B172="","",IF($D172=CashLabel,"",SUMIFS($P$5:$P$204,$E$5:$E$204,$E172,$D$5:$D$204,"&lt;&gt;"&amp;CashLabel)/ConcDenom))</f>
        <v/>
      </c>
      <c r="T172" s="14">
        <f>IF($B172="","",IF($D172=CashLabel,"",SUMIFS($P$5:$P$204,$F$5:$F$204,$F172,$D$5:$D$204,"&lt;&gt;"&amp;CashLabel)/ConcDenom))</f>
        <v/>
      </c>
      <c r="U172" s="14">
        <f>IF($B172="","",IF($D172=CashLabel,"",SUMIFS($P$5:$P$204,$D$5:$D$204,$D172,$D$5:$D$204,"&lt;&gt;"&amp;CashLabel)/ConcDenom))</f>
        <v/>
      </c>
      <c r="V172" s="15">
        <f>IF($B172="","",IF($D172=CashLabel,1,IF($R172&gt;ThrSingle,ThrSingle/$R172,1)))</f>
        <v/>
      </c>
      <c r="W172" s="15">
        <f>IF($B172="","",IF($D172=CashLabel,1,IF($S172&gt;ThrIssuer,ThrIssuer/$S172,1)))</f>
        <v/>
      </c>
      <c r="X172" s="15">
        <f>IF($B172="","",IF($D172=CashLabel,1,IF($T172&gt;IFERROR(VLOOKUP($F172,CountryThr,2,FALSE),DefThrCountry),IFERROR(VLOOKUP($F172,CountryThr,2,FALSE),DefThrCountry)/$T172,1)))</f>
        <v/>
      </c>
      <c r="Y172" s="15">
        <f>IF($B172="","",IF($D172=CashLabel,1,IF($U172&gt;IFERROR(VLOOKUP($D172,LVTable,3,FALSE),DefThrAsset),IFERROR(VLOOKUP($D172,LVTable,3,FALSE),DefThrAsset)/$U172,1)))</f>
        <v/>
      </c>
      <c r="Z172" s="34">
        <f>IF($B172="","",IF($D172=CashLabel,1,MIN($V172:$Y172)))</f>
        <v/>
      </c>
      <c r="AA172" s="25">
        <f>IF($B172="","",$P172*$Z172)</f>
        <v/>
      </c>
      <c r="AB172" s="33">
        <f>IF($B172="","",$P172-$AA172)</f>
        <v/>
      </c>
      <c r="AC172" s="21" t="n"/>
      <c r="AD172" s="33">
        <f>IF($B172="","",$M172*(1+IF(ISNUMBER($AC172),$AC172,0)))</f>
        <v/>
      </c>
      <c r="AE172" s="33">
        <f>IF($B172="","",$AD172*$O172)</f>
        <v/>
      </c>
      <c r="AF172" s="14">
        <f>IF($B172="","",IF($D172=CashLabel,"",SUMIFS($AE$5:$AE$204,$B$5:$B$204,$B172,$D$5:$D$204,"&lt;&gt;"&amp;CashLabel)/ConcDenomStr))</f>
        <v/>
      </c>
      <c r="AG172" s="14">
        <f>IF($B172="","",IF($D172=CashLabel,"",SUMIFS($AE$5:$AE$204,$E$5:$E$204,$E172,$D$5:$D$204,"&lt;&gt;"&amp;CashLabel)/ConcDenomStr))</f>
        <v/>
      </c>
      <c r="AH172" s="14">
        <f>IF($B172="","",IF($D172=CashLabel,"",SUMIFS($AE$5:$AE$204,$F$5:$F$204,$F172,$D$5:$D$204,"&lt;&gt;"&amp;CashLabel)/ConcDenomStr))</f>
        <v/>
      </c>
      <c r="AI172" s="14">
        <f>IF($B172="","",IF($D172=CashLabel,"",SUMIFS($AE$5:$AE$204,$D$5:$D$204,$D172,$D$5:$D$204,"&lt;&gt;"&amp;CashLabel)/ConcDenomStr))</f>
        <v/>
      </c>
      <c r="AJ172" s="15">
        <f>IF($B172="","",IF($D172=CashLabel,1,MIN(IF($AF172&gt;ThrSingle,ThrSingle/$AF172,1),IF($AG172&gt;ThrIssuer,ThrIssuer/$AG172,1),IF($AH172&gt;IFERROR(VLOOKUP($F172,CountryThr,2,FALSE),DefThrCountry),IFERROR(VLOOKUP($F172,CountryThr,2,FALSE),DefThrCountry)/$AH172,1),IF($AI172&gt;IFERROR(VLOOKUP($D172,LVTable,3,FALSE),DefThrAsset),IFERROR(VLOOKUP($D172,LVTable,3,FALSE),DefThrAsset)/$AI172,1))))</f>
        <v/>
      </c>
      <c r="AK172" s="33">
        <f>IF($B172="","",$AE172*$AJ172)</f>
        <v/>
      </c>
    </row>
    <row r="173">
      <c r="A173" s="16">
        <f>IF($B173="","",ROW()-4)</f>
        <v/>
      </c>
      <c r="B173" s="20" t="n"/>
      <c r="C173" s="20" t="n"/>
      <c r="D173" s="20" t="n"/>
      <c r="E173" s="20" t="n"/>
      <c r="F173" s="20" t="n"/>
      <c r="G173" s="20" t="n"/>
      <c r="H173" s="30" t="n"/>
      <c r="I173" s="30" t="n"/>
      <c r="J173" s="30" t="n"/>
      <c r="K173" s="31">
        <f>IF($B173="","",IF(ISNUMBER($J173),$J173,$I173))</f>
        <v/>
      </c>
      <c r="L173" s="32">
        <f>IF($B173="","",IFERROR(VLOOKUP($G173,FXRates,4,FALSE),1))</f>
        <v/>
      </c>
      <c r="M173" s="33">
        <f>IF($B173="","",$H173*$K173*$L173)</f>
        <v/>
      </c>
      <c r="N173" s="21" t="n"/>
      <c r="O173" s="14">
        <f>IF($B173="","",IF($D173=CashLabel,IF(ISNUMBER($N173),$N173,1),MIN(IF(ISNUMBER($N173),$N173,IFERROR(VLOOKUP($D173,LVTable,2,FALSE),0)),LVCap)))</f>
        <v/>
      </c>
      <c r="P173" s="25">
        <f>IF($B173="","",$M173*$O173)</f>
        <v/>
      </c>
      <c r="Q173" s="16">
        <f>IF($B173="","",IFERROR(VLOOKUP($G173,FXRates,5,FALSE),$G173))</f>
        <v/>
      </c>
      <c r="R173" s="14">
        <f>IF($B173="","",IF($D173=CashLabel,"",SUMIFS($P$5:$P$204,$B$5:$B$204,$B173,$D$5:$D$204,"&lt;&gt;"&amp;CashLabel)/ConcDenom))</f>
        <v/>
      </c>
      <c r="S173" s="14">
        <f>IF($B173="","",IF($D173=CashLabel,"",SUMIFS($P$5:$P$204,$E$5:$E$204,$E173,$D$5:$D$204,"&lt;&gt;"&amp;CashLabel)/ConcDenom))</f>
        <v/>
      </c>
      <c r="T173" s="14">
        <f>IF($B173="","",IF($D173=CashLabel,"",SUMIFS($P$5:$P$204,$F$5:$F$204,$F173,$D$5:$D$204,"&lt;&gt;"&amp;CashLabel)/ConcDenom))</f>
        <v/>
      </c>
      <c r="U173" s="14">
        <f>IF($B173="","",IF($D173=CashLabel,"",SUMIFS($P$5:$P$204,$D$5:$D$204,$D173,$D$5:$D$204,"&lt;&gt;"&amp;CashLabel)/ConcDenom))</f>
        <v/>
      </c>
      <c r="V173" s="15">
        <f>IF($B173="","",IF($D173=CashLabel,1,IF($R173&gt;ThrSingle,ThrSingle/$R173,1)))</f>
        <v/>
      </c>
      <c r="W173" s="15">
        <f>IF($B173="","",IF($D173=CashLabel,1,IF($S173&gt;ThrIssuer,ThrIssuer/$S173,1)))</f>
        <v/>
      </c>
      <c r="X173" s="15">
        <f>IF($B173="","",IF($D173=CashLabel,1,IF($T173&gt;IFERROR(VLOOKUP($F173,CountryThr,2,FALSE),DefThrCountry),IFERROR(VLOOKUP($F173,CountryThr,2,FALSE),DefThrCountry)/$T173,1)))</f>
        <v/>
      </c>
      <c r="Y173" s="15">
        <f>IF($B173="","",IF($D173=CashLabel,1,IF($U173&gt;IFERROR(VLOOKUP($D173,LVTable,3,FALSE),DefThrAsset),IFERROR(VLOOKUP($D173,LVTable,3,FALSE),DefThrAsset)/$U173,1)))</f>
        <v/>
      </c>
      <c r="Z173" s="34">
        <f>IF($B173="","",IF($D173=CashLabel,1,MIN($V173:$Y173)))</f>
        <v/>
      </c>
      <c r="AA173" s="25">
        <f>IF($B173="","",$P173*$Z173)</f>
        <v/>
      </c>
      <c r="AB173" s="33">
        <f>IF($B173="","",$P173-$AA173)</f>
        <v/>
      </c>
      <c r="AC173" s="21" t="n"/>
      <c r="AD173" s="33">
        <f>IF($B173="","",$M173*(1+IF(ISNUMBER($AC173),$AC173,0)))</f>
        <v/>
      </c>
      <c r="AE173" s="33">
        <f>IF($B173="","",$AD173*$O173)</f>
        <v/>
      </c>
      <c r="AF173" s="14">
        <f>IF($B173="","",IF($D173=CashLabel,"",SUMIFS($AE$5:$AE$204,$B$5:$B$204,$B173,$D$5:$D$204,"&lt;&gt;"&amp;CashLabel)/ConcDenomStr))</f>
        <v/>
      </c>
      <c r="AG173" s="14">
        <f>IF($B173="","",IF($D173=CashLabel,"",SUMIFS($AE$5:$AE$204,$E$5:$E$204,$E173,$D$5:$D$204,"&lt;&gt;"&amp;CashLabel)/ConcDenomStr))</f>
        <v/>
      </c>
      <c r="AH173" s="14">
        <f>IF($B173="","",IF($D173=CashLabel,"",SUMIFS($AE$5:$AE$204,$F$5:$F$204,$F173,$D$5:$D$204,"&lt;&gt;"&amp;CashLabel)/ConcDenomStr))</f>
        <v/>
      </c>
      <c r="AI173" s="14">
        <f>IF($B173="","",IF($D173=CashLabel,"",SUMIFS($AE$5:$AE$204,$D$5:$D$204,$D173,$D$5:$D$204,"&lt;&gt;"&amp;CashLabel)/ConcDenomStr))</f>
        <v/>
      </c>
      <c r="AJ173" s="15">
        <f>IF($B173="","",IF($D173=CashLabel,1,MIN(IF($AF173&gt;ThrSingle,ThrSingle/$AF173,1),IF($AG173&gt;ThrIssuer,ThrIssuer/$AG173,1),IF($AH173&gt;IFERROR(VLOOKUP($F173,CountryThr,2,FALSE),DefThrCountry),IFERROR(VLOOKUP($F173,CountryThr,2,FALSE),DefThrCountry)/$AH173,1),IF($AI173&gt;IFERROR(VLOOKUP($D173,LVTable,3,FALSE),DefThrAsset),IFERROR(VLOOKUP($D173,LVTable,3,FALSE),DefThrAsset)/$AI173,1))))</f>
        <v/>
      </c>
      <c r="AK173" s="33">
        <f>IF($B173="","",$AE173*$AJ173)</f>
        <v/>
      </c>
    </row>
    <row r="174">
      <c r="A174" s="16">
        <f>IF($B174="","",ROW()-4)</f>
        <v/>
      </c>
      <c r="B174" s="20" t="n"/>
      <c r="C174" s="20" t="n"/>
      <c r="D174" s="20" t="n"/>
      <c r="E174" s="20" t="n"/>
      <c r="F174" s="20" t="n"/>
      <c r="G174" s="20" t="n"/>
      <c r="H174" s="30" t="n"/>
      <c r="I174" s="30" t="n"/>
      <c r="J174" s="30" t="n"/>
      <c r="K174" s="31">
        <f>IF($B174="","",IF(ISNUMBER($J174),$J174,$I174))</f>
        <v/>
      </c>
      <c r="L174" s="32">
        <f>IF($B174="","",IFERROR(VLOOKUP($G174,FXRates,4,FALSE),1))</f>
        <v/>
      </c>
      <c r="M174" s="33">
        <f>IF($B174="","",$H174*$K174*$L174)</f>
        <v/>
      </c>
      <c r="N174" s="21" t="n"/>
      <c r="O174" s="14">
        <f>IF($B174="","",IF($D174=CashLabel,IF(ISNUMBER($N174),$N174,1),MIN(IF(ISNUMBER($N174),$N174,IFERROR(VLOOKUP($D174,LVTable,2,FALSE),0)),LVCap)))</f>
        <v/>
      </c>
      <c r="P174" s="25">
        <f>IF($B174="","",$M174*$O174)</f>
        <v/>
      </c>
      <c r="Q174" s="16">
        <f>IF($B174="","",IFERROR(VLOOKUP($G174,FXRates,5,FALSE),$G174))</f>
        <v/>
      </c>
      <c r="R174" s="14">
        <f>IF($B174="","",IF($D174=CashLabel,"",SUMIFS($P$5:$P$204,$B$5:$B$204,$B174,$D$5:$D$204,"&lt;&gt;"&amp;CashLabel)/ConcDenom))</f>
        <v/>
      </c>
      <c r="S174" s="14">
        <f>IF($B174="","",IF($D174=CashLabel,"",SUMIFS($P$5:$P$204,$E$5:$E$204,$E174,$D$5:$D$204,"&lt;&gt;"&amp;CashLabel)/ConcDenom))</f>
        <v/>
      </c>
      <c r="T174" s="14">
        <f>IF($B174="","",IF($D174=CashLabel,"",SUMIFS($P$5:$P$204,$F$5:$F$204,$F174,$D$5:$D$204,"&lt;&gt;"&amp;CashLabel)/ConcDenom))</f>
        <v/>
      </c>
      <c r="U174" s="14">
        <f>IF($B174="","",IF($D174=CashLabel,"",SUMIFS($P$5:$P$204,$D$5:$D$204,$D174,$D$5:$D$204,"&lt;&gt;"&amp;CashLabel)/ConcDenom))</f>
        <v/>
      </c>
      <c r="V174" s="15">
        <f>IF($B174="","",IF($D174=CashLabel,1,IF($R174&gt;ThrSingle,ThrSingle/$R174,1)))</f>
        <v/>
      </c>
      <c r="W174" s="15">
        <f>IF($B174="","",IF($D174=CashLabel,1,IF($S174&gt;ThrIssuer,ThrIssuer/$S174,1)))</f>
        <v/>
      </c>
      <c r="X174" s="15">
        <f>IF($B174="","",IF($D174=CashLabel,1,IF($T174&gt;IFERROR(VLOOKUP($F174,CountryThr,2,FALSE),DefThrCountry),IFERROR(VLOOKUP($F174,CountryThr,2,FALSE),DefThrCountry)/$T174,1)))</f>
        <v/>
      </c>
      <c r="Y174" s="15">
        <f>IF($B174="","",IF($D174=CashLabel,1,IF($U174&gt;IFERROR(VLOOKUP($D174,LVTable,3,FALSE),DefThrAsset),IFERROR(VLOOKUP($D174,LVTable,3,FALSE),DefThrAsset)/$U174,1)))</f>
        <v/>
      </c>
      <c r="Z174" s="34">
        <f>IF($B174="","",IF($D174=CashLabel,1,MIN($V174:$Y174)))</f>
        <v/>
      </c>
      <c r="AA174" s="25">
        <f>IF($B174="","",$P174*$Z174)</f>
        <v/>
      </c>
      <c r="AB174" s="33">
        <f>IF($B174="","",$P174-$AA174)</f>
        <v/>
      </c>
      <c r="AC174" s="21" t="n"/>
      <c r="AD174" s="33">
        <f>IF($B174="","",$M174*(1+IF(ISNUMBER($AC174),$AC174,0)))</f>
        <v/>
      </c>
      <c r="AE174" s="33">
        <f>IF($B174="","",$AD174*$O174)</f>
        <v/>
      </c>
      <c r="AF174" s="14">
        <f>IF($B174="","",IF($D174=CashLabel,"",SUMIFS($AE$5:$AE$204,$B$5:$B$204,$B174,$D$5:$D$204,"&lt;&gt;"&amp;CashLabel)/ConcDenomStr))</f>
        <v/>
      </c>
      <c r="AG174" s="14">
        <f>IF($B174="","",IF($D174=CashLabel,"",SUMIFS($AE$5:$AE$204,$E$5:$E$204,$E174,$D$5:$D$204,"&lt;&gt;"&amp;CashLabel)/ConcDenomStr))</f>
        <v/>
      </c>
      <c r="AH174" s="14">
        <f>IF($B174="","",IF($D174=CashLabel,"",SUMIFS($AE$5:$AE$204,$F$5:$F$204,$F174,$D$5:$D$204,"&lt;&gt;"&amp;CashLabel)/ConcDenomStr))</f>
        <v/>
      </c>
      <c r="AI174" s="14">
        <f>IF($B174="","",IF($D174=CashLabel,"",SUMIFS($AE$5:$AE$204,$D$5:$D$204,$D174,$D$5:$D$204,"&lt;&gt;"&amp;CashLabel)/ConcDenomStr))</f>
        <v/>
      </c>
      <c r="AJ174" s="15">
        <f>IF($B174="","",IF($D174=CashLabel,1,MIN(IF($AF174&gt;ThrSingle,ThrSingle/$AF174,1),IF($AG174&gt;ThrIssuer,ThrIssuer/$AG174,1),IF($AH174&gt;IFERROR(VLOOKUP($F174,CountryThr,2,FALSE),DefThrCountry),IFERROR(VLOOKUP($F174,CountryThr,2,FALSE),DefThrCountry)/$AH174,1),IF($AI174&gt;IFERROR(VLOOKUP($D174,LVTable,3,FALSE),DefThrAsset),IFERROR(VLOOKUP($D174,LVTable,3,FALSE),DefThrAsset)/$AI174,1))))</f>
        <v/>
      </c>
      <c r="AK174" s="33">
        <f>IF($B174="","",$AE174*$AJ174)</f>
        <v/>
      </c>
    </row>
    <row r="175">
      <c r="A175" s="16">
        <f>IF($B175="","",ROW()-4)</f>
        <v/>
      </c>
      <c r="B175" s="20" t="n"/>
      <c r="C175" s="20" t="n"/>
      <c r="D175" s="20" t="n"/>
      <c r="E175" s="20" t="n"/>
      <c r="F175" s="20" t="n"/>
      <c r="G175" s="20" t="n"/>
      <c r="H175" s="30" t="n"/>
      <c r="I175" s="30" t="n"/>
      <c r="J175" s="30" t="n"/>
      <c r="K175" s="31">
        <f>IF($B175="","",IF(ISNUMBER($J175),$J175,$I175))</f>
        <v/>
      </c>
      <c r="L175" s="32">
        <f>IF($B175="","",IFERROR(VLOOKUP($G175,FXRates,4,FALSE),1))</f>
        <v/>
      </c>
      <c r="M175" s="33">
        <f>IF($B175="","",$H175*$K175*$L175)</f>
        <v/>
      </c>
      <c r="N175" s="21" t="n"/>
      <c r="O175" s="14">
        <f>IF($B175="","",IF($D175=CashLabel,IF(ISNUMBER($N175),$N175,1),MIN(IF(ISNUMBER($N175),$N175,IFERROR(VLOOKUP($D175,LVTable,2,FALSE),0)),LVCap)))</f>
        <v/>
      </c>
      <c r="P175" s="25">
        <f>IF($B175="","",$M175*$O175)</f>
        <v/>
      </c>
      <c r="Q175" s="16">
        <f>IF($B175="","",IFERROR(VLOOKUP($G175,FXRates,5,FALSE),$G175))</f>
        <v/>
      </c>
      <c r="R175" s="14">
        <f>IF($B175="","",IF($D175=CashLabel,"",SUMIFS($P$5:$P$204,$B$5:$B$204,$B175,$D$5:$D$204,"&lt;&gt;"&amp;CashLabel)/ConcDenom))</f>
        <v/>
      </c>
      <c r="S175" s="14">
        <f>IF($B175="","",IF($D175=CashLabel,"",SUMIFS($P$5:$P$204,$E$5:$E$204,$E175,$D$5:$D$204,"&lt;&gt;"&amp;CashLabel)/ConcDenom))</f>
        <v/>
      </c>
      <c r="T175" s="14">
        <f>IF($B175="","",IF($D175=CashLabel,"",SUMIFS($P$5:$P$204,$F$5:$F$204,$F175,$D$5:$D$204,"&lt;&gt;"&amp;CashLabel)/ConcDenom))</f>
        <v/>
      </c>
      <c r="U175" s="14">
        <f>IF($B175="","",IF($D175=CashLabel,"",SUMIFS($P$5:$P$204,$D$5:$D$204,$D175,$D$5:$D$204,"&lt;&gt;"&amp;CashLabel)/ConcDenom))</f>
        <v/>
      </c>
      <c r="V175" s="15">
        <f>IF($B175="","",IF($D175=CashLabel,1,IF($R175&gt;ThrSingle,ThrSingle/$R175,1)))</f>
        <v/>
      </c>
      <c r="W175" s="15">
        <f>IF($B175="","",IF($D175=CashLabel,1,IF($S175&gt;ThrIssuer,ThrIssuer/$S175,1)))</f>
        <v/>
      </c>
      <c r="X175" s="15">
        <f>IF($B175="","",IF($D175=CashLabel,1,IF($T175&gt;IFERROR(VLOOKUP($F175,CountryThr,2,FALSE),DefThrCountry),IFERROR(VLOOKUP($F175,CountryThr,2,FALSE),DefThrCountry)/$T175,1)))</f>
        <v/>
      </c>
      <c r="Y175" s="15">
        <f>IF($B175="","",IF($D175=CashLabel,1,IF($U175&gt;IFERROR(VLOOKUP($D175,LVTable,3,FALSE),DefThrAsset),IFERROR(VLOOKUP($D175,LVTable,3,FALSE),DefThrAsset)/$U175,1)))</f>
        <v/>
      </c>
      <c r="Z175" s="34">
        <f>IF($B175="","",IF($D175=CashLabel,1,MIN($V175:$Y175)))</f>
        <v/>
      </c>
      <c r="AA175" s="25">
        <f>IF($B175="","",$P175*$Z175)</f>
        <v/>
      </c>
      <c r="AB175" s="33">
        <f>IF($B175="","",$P175-$AA175)</f>
        <v/>
      </c>
      <c r="AC175" s="21" t="n"/>
      <c r="AD175" s="33">
        <f>IF($B175="","",$M175*(1+IF(ISNUMBER($AC175),$AC175,0)))</f>
        <v/>
      </c>
      <c r="AE175" s="33">
        <f>IF($B175="","",$AD175*$O175)</f>
        <v/>
      </c>
      <c r="AF175" s="14">
        <f>IF($B175="","",IF($D175=CashLabel,"",SUMIFS($AE$5:$AE$204,$B$5:$B$204,$B175,$D$5:$D$204,"&lt;&gt;"&amp;CashLabel)/ConcDenomStr))</f>
        <v/>
      </c>
      <c r="AG175" s="14">
        <f>IF($B175="","",IF($D175=CashLabel,"",SUMIFS($AE$5:$AE$204,$E$5:$E$204,$E175,$D$5:$D$204,"&lt;&gt;"&amp;CashLabel)/ConcDenomStr))</f>
        <v/>
      </c>
      <c r="AH175" s="14">
        <f>IF($B175="","",IF($D175=CashLabel,"",SUMIFS($AE$5:$AE$204,$F$5:$F$204,$F175,$D$5:$D$204,"&lt;&gt;"&amp;CashLabel)/ConcDenomStr))</f>
        <v/>
      </c>
      <c r="AI175" s="14">
        <f>IF($B175="","",IF($D175=CashLabel,"",SUMIFS($AE$5:$AE$204,$D$5:$D$204,$D175,$D$5:$D$204,"&lt;&gt;"&amp;CashLabel)/ConcDenomStr))</f>
        <v/>
      </c>
      <c r="AJ175" s="15">
        <f>IF($B175="","",IF($D175=CashLabel,1,MIN(IF($AF175&gt;ThrSingle,ThrSingle/$AF175,1),IF($AG175&gt;ThrIssuer,ThrIssuer/$AG175,1),IF($AH175&gt;IFERROR(VLOOKUP($F175,CountryThr,2,FALSE),DefThrCountry),IFERROR(VLOOKUP($F175,CountryThr,2,FALSE),DefThrCountry)/$AH175,1),IF($AI175&gt;IFERROR(VLOOKUP($D175,LVTable,3,FALSE),DefThrAsset),IFERROR(VLOOKUP($D175,LVTable,3,FALSE),DefThrAsset)/$AI175,1))))</f>
        <v/>
      </c>
      <c r="AK175" s="33">
        <f>IF($B175="","",$AE175*$AJ175)</f>
        <v/>
      </c>
    </row>
    <row r="176">
      <c r="A176" s="16">
        <f>IF($B176="","",ROW()-4)</f>
        <v/>
      </c>
      <c r="B176" s="20" t="n"/>
      <c r="C176" s="20" t="n"/>
      <c r="D176" s="20" t="n"/>
      <c r="E176" s="20" t="n"/>
      <c r="F176" s="20" t="n"/>
      <c r="G176" s="20" t="n"/>
      <c r="H176" s="30" t="n"/>
      <c r="I176" s="30" t="n"/>
      <c r="J176" s="30" t="n"/>
      <c r="K176" s="31">
        <f>IF($B176="","",IF(ISNUMBER($J176),$J176,$I176))</f>
        <v/>
      </c>
      <c r="L176" s="32">
        <f>IF($B176="","",IFERROR(VLOOKUP($G176,FXRates,4,FALSE),1))</f>
        <v/>
      </c>
      <c r="M176" s="33">
        <f>IF($B176="","",$H176*$K176*$L176)</f>
        <v/>
      </c>
      <c r="N176" s="21" t="n"/>
      <c r="O176" s="14">
        <f>IF($B176="","",IF($D176=CashLabel,IF(ISNUMBER($N176),$N176,1),MIN(IF(ISNUMBER($N176),$N176,IFERROR(VLOOKUP($D176,LVTable,2,FALSE),0)),LVCap)))</f>
        <v/>
      </c>
      <c r="P176" s="25">
        <f>IF($B176="","",$M176*$O176)</f>
        <v/>
      </c>
      <c r="Q176" s="16">
        <f>IF($B176="","",IFERROR(VLOOKUP($G176,FXRates,5,FALSE),$G176))</f>
        <v/>
      </c>
      <c r="R176" s="14">
        <f>IF($B176="","",IF($D176=CashLabel,"",SUMIFS($P$5:$P$204,$B$5:$B$204,$B176,$D$5:$D$204,"&lt;&gt;"&amp;CashLabel)/ConcDenom))</f>
        <v/>
      </c>
      <c r="S176" s="14">
        <f>IF($B176="","",IF($D176=CashLabel,"",SUMIFS($P$5:$P$204,$E$5:$E$204,$E176,$D$5:$D$204,"&lt;&gt;"&amp;CashLabel)/ConcDenom))</f>
        <v/>
      </c>
      <c r="T176" s="14">
        <f>IF($B176="","",IF($D176=CashLabel,"",SUMIFS($P$5:$P$204,$F$5:$F$204,$F176,$D$5:$D$204,"&lt;&gt;"&amp;CashLabel)/ConcDenom))</f>
        <v/>
      </c>
      <c r="U176" s="14">
        <f>IF($B176="","",IF($D176=CashLabel,"",SUMIFS($P$5:$P$204,$D$5:$D$204,$D176,$D$5:$D$204,"&lt;&gt;"&amp;CashLabel)/ConcDenom))</f>
        <v/>
      </c>
      <c r="V176" s="15">
        <f>IF($B176="","",IF($D176=CashLabel,1,IF($R176&gt;ThrSingle,ThrSingle/$R176,1)))</f>
        <v/>
      </c>
      <c r="W176" s="15">
        <f>IF($B176="","",IF($D176=CashLabel,1,IF($S176&gt;ThrIssuer,ThrIssuer/$S176,1)))</f>
        <v/>
      </c>
      <c r="X176" s="15">
        <f>IF($B176="","",IF($D176=CashLabel,1,IF($T176&gt;IFERROR(VLOOKUP($F176,CountryThr,2,FALSE),DefThrCountry),IFERROR(VLOOKUP($F176,CountryThr,2,FALSE),DefThrCountry)/$T176,1)))</f>
        <v/>
      </c>
      <c r="Y176" s="15">
        <f>IF($B176="","",IF($D176=CashLabel,1,IF($U176&gt;IFERROR(VLOOKUP($D176,LVTable,3,FALSE),DefThrAsset),IFERROR(VLOOKUP($D176,LVTable,3,FALSE),DefThrAsset)/$U176,1)))</f>
        <v/>
      </c>
      <c r="Z176" s="34">
        <f>IF($B176="","",IF($D176=CashLabel,1,MIN($V176:$Y176)))</f>
        <v/>
      </c>
      <c r="AA176" s="25">
        <f>IF($B176="","",$P176*$Z176)</f>
        <v/>
      </c>
      <c r="AB176" s="33">
        <f>IF($B176="","",$P176-$AA176)</f>
        <v/>
      </c>
      <c r="AC176" s="21" t="n"/>
      <c r="AD176" s="33">
        <f>IF($B176="","",$M176*(1+IF(ISNUMBER($AC176),$AC176,0)))</f>
        <v/>
      </c>
      <c r="AE176" s="33">
        <f>IF($B176="","",$AD176*$O176)</f>
        <v/>
      </c>
      <c r="AF176" s="14">
        <f>IF($B176="","",IF($D176=CashLabel,"",SUMIFS($AE$5:$AE$204,$B$5:$B$204,$B176,$D$5:$D$204,"&lt;&gt;"&amp;CashLabel)/ConcDenomStr))</f>
        <v/>
      </c>
      <c r="AG176" s="14">
        <f>IF($B176="","",IF($D176=CashLabel,"",SUMIFS($AE$5:$AE$204,$E$5:$E$204,$E176,$D$5:$D$204,"&lt;&gt;"&amp;CashLabel)/ConcDenomStr))</f>
        <v/>
      </c>
      <c r="AH176" s="14">
        <f>IF($B176="","",IF($D176=CashLabel,"",SUMIFS($AE$5:$AE$204,$F$5:$F$204,$F176,$D$5:$D$204,"&lt;&gt;"&amp;CashLabel)/ConcDenomStr))</f>
        <v/>
      </c>
      <c r="AI176" s="14">
        <f>IF($B176="","",IF($D176=CashLabel,"",SUMIFS($AE$5:$AE$204,$D$5:$D$204,$D176,$D$5:$D$204,"&lt;&gt;"&amp;CashLabel)/ConcDenomStr))</f>
        <v/>
      </c>
      <c r="AJ176" s="15">
        <f>IF($B176="","",IF($D176=CashLabel,1,MIN(IF($AF176&gt;ThrSingle,ThrSingle/$AF176,1),IF($AG176&gt;ThrIssuer,ThrIssuer/$AG176,1),IF($AH176&gt;IFERROR(VLOOKUP($F176,CountryThr,2,FALSE),DefThrCountry),IFERROR(VLOOKUP($F176,CountryThr,2,FALSE),DefThrCountry)/$AH176,1),IF($AI176&gt;IFERROR(VLOOKUP($D176,LVTable,3,FALSE),DefThrAsset),IFERROR(VLOOKUP($D176,LVTable,3,FALSE),DefThrAsset)/$AI176,1))))</f>
        <v/>
      </c>
      <c r="AK176" s="33">
        <f>IF($B176="","",$AE176*$AJ176)</f>
        <v/>
      </c>
    </row>
    <row r="177">
      <c r="A177" s="16">
        <f>IF($B177="","",ROW()-4)</f>
        <v/>
      </c>
      <c r="B177" s="20" t="n"/>
      <c r="C177" s="20" t="n"/>
      <c r="D177" s="20" t="n"/>
      <c r="E177" s="20" t="n"/>
      <c r="F177" s="20" t="n"/>
      <c r="G177" s="20" t="n"/>
      <c r="H177" s="30" t="n"/>
      <c r="I177" s="30" t="n"/>
      <c r="J177" s="30" t="n"/>
      <c r="K177" s="31">
        <f>IF($B177="","",IF(ISNUMBER($J177),$J177,$I177))</f>
        <v/>
      </c>
      <c r="L177" s="32">
        <f>IF($B177="","",IFERROR(VLOOKUP($G177,FXRates,4,FALSE),1))</f>
        <v/>
      </c>
      <c r="M177" s="33">
        <f>IF($B177="","",$H177*$K177*$L177)</f>
        <v/>
      </c>
      <c r="N177" s="21" t="n"/>
      <c r="O177" s="14">
        <f>IF($B177="","",IF($D177=CashLabel,IF(ISNUMBER($N177),$N177,1),MIN(IF(ISNUMBER($N177),$N177,IFERROR(VLOOKUP($D177,LVTable,2,FALSE),0)),LVCap)))</f>
        <v/>
      </c>
      <c r="P177" s="25">
        <f>IF($B177="","",$M177*$O177)</f>
        <v/>
      </c>
      <c r="Q177" s="16">
        <f>IF($B177="","",IFERROR(VLOOKUP($G177,FXRates,5,FALSE),$G177))</f>
        <v/>
      </c>
      <c r="R177" s="14">
        <f>IF($B177="","",IF($D177=CashLabel,"",SUMIFS($P$5:$P$204,$B$5:$B$204,$B177,$D$5:$D$204,"&lt;&gt;"&amp;CashLabel)/ConcDenom))</f>
        <v/>
      </c>
      <c r="S177" s="14">
        <f>IF($B177="","",IF($D177=CashLabel,"",SUMIFS($P$5:$P$204,$E$5:$E$204,$E177,$D$5:$D$204,"&lt;&gt;"&amp;CashLabel)/ConcDenom))</f>
        <v/>
      </c>
      <c r="T177" s="14">
        <f>IF($B177="","",IF($D177=CashLabel,"",SUMIFS($P$5:$P$204,$F$5:$F$204,$F177,$D$5:$D$204,"&lt;&gt;"&amp;CashLabel)/ConcDenom))</f>
        <v/>
      </c>
      <c r="U177" s="14">
        <f>IF($B177="","",IF($D177=CashLabel,"",SUMIFS($P$5:$P$204,$D$5:$D$204,$D177,$D$5:$D$204,"&lt;&gt;"&amp;CashLabel)/ConcDenom))</f>
        <v/>
      </c>
      <c r="V177" s="15">
        <f>IF($B177="","",IF($D177=CashLabel,1,IF($R177&gt;ThrSingle,ThrSingle/$R177,1)))</f>
        <v/>
      </c>
      <c r="W177" s="15">
        <f>IF($B177="","",IF($D177=CashLabel,1,IF($S177&gt;ThrIssuer,ThrIssuer/$S177,1)))</f>
        <v/>
      </c>
      <c r="X177" s="15">
        <f>IF($B177="","",IF($D177=CashLabel,1,IF($T177&gt;IFERROR(VLOOKUP($F177,CountryThr,2,FALSE),DefThrCountry),IFERROR(VLOOKUP($F177,CountryThr,2,FALSE),DefThrCountry)/$T177,1)))</f>
        <v/>
      </c>
      <c r="Y177" s="15">
        <f>IF($B177="","",IF($D177=CashLabel,1,IF($U177&gt;IFERROR(VLOOKUP($D177,LVTable,3,FALSE),DefThrAsset),IFERROR(VLOOKUP($D177,LVTable,3,FALSE),DefThrAsset)/$U177,1)))</f>
        <v/>
      </c>
      <c r="Z177" s="34">
        <f>IF($B177="","",IF($D177=CashLabel,1,MIN($V177:$Y177)))</f>
        <v/>
      </c>
      <c r="AA177" s="25">
        <f>IF($B177="","",$P177*$Z177)</f>
        <v/>
      </c>
      <c r="AB177" s="33">
        <f>IF($B177="","",$P177-$AA177)</f>
        <v/>
      </c>
      <c r="AC177" s="21" t="n"/>
      <c r="AD177" s="33">
        <f>IF($B177="","",$M177*(1+IF(ISNUMBER($AC177),$AC177,0)))</f>
        <v/>
      </c>
      <c r="AE177" s="33">
        <f>IF($B177="","",$AD177*$O177)</f>
        <v/>
      </c>
      <c r="AF177" s="14">
        <f>IF($B177="","",IF($D177=CashLabel,"",SUMIFS($AE$5:$AE$204,$B$5:$B$204,$B177,$D$5:$D$204,"&lt;&gt;"&amp;CashLabel)/ConcDenomStr))</f>
        <v/>
      </c>
      <c r="AG177" s="14">
        <f>IF($B177="","",IF($D177=CashLabel,"",SUMIFS($AE$5:$AE$204,$E$5:$E$204,$E177,$D$5:$D$204,"&lt;&gt;"&amp;CashLabel)/ConcDenomStr))</f>
        <v/>
      </c>
      <c r="AH177" s="14">
        <f>IF($B177="","",IF($D177=CashLabel,"",SUMIFS($AE$5:$AE$204,$F$5:$F$204,$F177,$D$5:$D$204,"&lt;&gt;"&amp;CashLabel)/ConcDenomStr))</f>
        <v/>
      </c>
      <c r="AI177" s="14">
        <f>IF($B177="","",IF($D177=CashLabel,"",SUMIFS($AE$5:$AE$204,$D$5:$D$204,$D177,$D$5:$D$204,"&lt;&gt;"&amp;CashLabel)/ConcDenomStr))</f>
        <v/>
      </c>
      <c r="AJ177" s="15">
        <f>IF($B177="","",IF($D177=CashLabel,1,MIN(IF($AF177&gt;ThrSingle,ThrSingle/$AF177,1),IF($AG177&gt;ThrIssuer,ThrIssuer/$AG177,1),IF($AH177&gt;IFERROR(VLOOKUP($F177,CountryThr,2,FALSE),DefThrCountry),IFERROR(VLOOKUP($F177,CountryThr,2,FALSE),DefThrCountry)/$AH177,1),IF($AI177&gt;IFERROR(VLOOKUP($D177,LVTable,3,FALSE),DefThrAsset),IFERROR(VLOOKUP($D177,LVTable,3,FALSE),DefThrAsset)/$AI177,1))))</f>
        <v/>
      </c>
      <c r="AK177" s="33">
        <f>IF($B177="","",$AE177*$AJ177)</f>
        <v/>
      </c>
    </row>
    <row r="178">
      <c r="A178" s="16">
        <f>IF($B178="","",ROW()-4)</f>
        <v/>
      </c>
      <c r="B178" s="20" t="n"/>
      <c r="C178" s="20" t="n"/>
      <c r="D178" s="20" t="n"/>
      <c r="E178" s="20" t="n"/>
      <c r="F178" s="20" t="n"/>
      <c r="G178" s="20" t="n"/>
      <c r="H178" s="30" t="n"/>
      <c r="I178" s="30" t="n"/>
      <c r="J178" s="30" t="n"/>
      <c r="K178" s="31">
        <f>IF($B178="","",IF(ISNUMBER($J178),$J178,$I178))</f>
        <v/>
      </c>
      <c r="L178" s="32">
        <f>IF($B178="","",IFERROR(VLOOKUP($G178,FXRates,4,FALSE),1))</f>
        <v/>
      </c>
      <c r="M178" s="33">
        <f>IF($B178="","",$H178*$K178*$L178)</f>
        <v/>
      </c>
      <c r="N178" s="21" t="n"/>
      <c r="O178" s="14">
        <f>IF($B178="","",IF($D178=CashLabel,IF(ISNUMBER($N178),$N178,1),MIN(IF(ISNUMBER($N178),$N178,IFERROR(VLOOKUP($D178,LVTable,2,FALSE),0)),LVCap)))</f>
        <v/>
      </c>
      <c r="P178" s="25">
        <f>IF($B178="","",$M178*$O178)</f>
        <v/>
      </c>
      <c r="Q178" s="16">
        <f>IF($B178="","",IFERROR(VLOOKUP($G178,FXRates,5,FALSE),$G178))</f>
        <v/>
      </c>
      <c r="R178" s="14">
        <f>IF($B178="","",IF($D178=CashLabel,"",SUMIFS($P$5:$P$204,$B$5:$B$204,$B178,$D$5:$D$204,"&lt;&gt;"&amp;CashLabel)/ConcDenom))</f>
        <v/>
      </c>
      <c r="S178" s="14">
        <f>IF($B178="","",IF($D178=CashLabel,"",SUMIFS($P$5:$P$204,$E$5:$E$204,$E178,$D$5:$D$204,"&lt;&gt;"&amp;CashLabel)/ConcDenom))</f>
        <v/>
      </c>
      <c r="T178" s="14">
        <f>IF($B178="","",IF($D178=CashLabel,"",SUMIFS($P$5:$P$204,$F$5:$F$204,$F178,$D$5:$D$204,"&lt;&gt;"&amp;CashLabel)/ConcDenom))</f>
        <v/>
      </c>
      <c r="U178" s="14">
        <f>IF($B178="","",IF($D178=CashLabel,"",SUMIFS($P$5:$P$204,$D$5:$D$204,$D178,$D$5:$D$204,"&lt;&gt;"&amp;CashLabel)/ConcDenom))</f>
        <v/>
      </c>
      <c r="V178" s="15">
        <f>IF($B178="","",IF($D178=CashLabel,1,IF($R178&gt;ThrSingle,ThrSingle/$R178,1)))</f>
        <v/>
      </c>
      <c r="W178" s="15">
        <f>IF($B178="","",IF($D178=CashLabel,1,IF($S178&gt;ThrIssuer,ThrIssuer/$S178,1)))</f>
        <v/>
      </c>
      <c r="X178" s="15">
        <f>IF($B178="","",IF($D178=CashLabel,1,IF($T178&gt;IFERROR(VLOOKUP($F178,CountryThr,2,FALSE),DefThrCountry),IFERROR(VLOOKUP($F178,CountryThr,2,FALSE),DefThrCountry)/$T178,1)))</f>
        <v/>
      </c>
      <c r="Y178" s="15">
        <f>IF($B178="","",IF($D178=CashLabel,1,IF($U178&gt;IFERROR(VLOOKUP($D178,LVTable,3,FALSE),DefThrAsset),IFERROR(VLOOKUP($D178,LVTable,3,FALSE),DefThrAsset)/$U178,1)))</f>
        <v/>
      </c>
      <c r="Z178" s="34">
        <f>IF($B178="","",IF($D178=CashLabel,1,MIN($V178:$Y178)))</f>
        <v/>
      </c>
      <c r="AA178" s="25">
        <f>IF($B178="","",$P178*$Z178)</f>
        <v/>
      </c>
      <c r="AB178" s="33">
        <f>IF($B178="","",$P178-$AA178)</f>
        <v/>
      </c>
      <c r="AC178" s="21" t="n"/>
      <c r="AD178" s="33">
        <f>IF($B178="","",$M178*(1+IF(ISNUMBER($AC178),$AC178,0)))</f>
        <v/>
      </c>
      <c r="AE178" s="33">
        <f>IF($B178="","",$AD178*$O178)</f>
        <v/>
      </c>
      <c r="AF178" s="14">
        <f>IF($B178="","",IF($D178=CashLabel,"",SUMIFS($AE$5:$AE$204,$B$5:$B$204,$B178,$D$5:$D$204,"&lt;&gt;"&amp;CashLabel)/ConcDenomStr))</f>
        <v/>
      </c>
      <c r="AG178" s="14">
        <f>IF($B178="","",IF($D178=CashLabel,"",SUMIFS($AE$5:$AE$204,$E$5:$E$204,$E178,$D$5:$D$204,"&lt;&gt;"&amp;CashLabel)/ConcDenomStr))</f>
        <v/>
      </c>
      <c r="AH178" s="14">
        <f>IF($B178="","",IF($D178=CashLabel,"",SUMIFS($AE$5:$AE$204,$F$5:$F$204,$F178,$D$5:$D$204,"&lt;&gt;"&amp;CashLabel)/ConcDenomStr))</f>
        <v/>
      </c>
      <c r="AI178" s="14">
        <f>IF($B178="","",IF($D178=CashLabel,"",SUMIFS($AE$5:$AE$204,$D$5:$D$204,$D178,$D$5:$D$204,"&lt;&gt;"&amp;CashLabel)/ConcDenomStr))</f>
        <v/>
      </c>
      <c r="AJ178" s="15">
        <f>IF($B178="","",IF($D178=CashLabel,1,MIN(IF($AF178&gt;ThrSingle,ThrSingle/$AF178,1),IF($AG178&gt;ThrIssuer,ThrIssuer/$AG178,1),IF($AH178&gt;IFERROR(VLOOKUP($F178,CountryThr,2,FALSE),DefThrCountry),IFERROR(VLOOKUP($F178,CountryThr,2,FALSE),DefThrCountry)/$AH178,1),IF($AI178&gt;IFERROR(VLOOKUP($D178,LVTable,3,FALSE),DefThrAsset),IFERROR(VLOOKUP($D178,LVTable,3,FALSE),DefThrAsset)/$AI178,1))))</f>
        <v/>
      </c>
      <c r="AK178" s="33">
        <f>IF($B178="","",$AE178*$AJ178)</f>
        <v/>
      </c>
    </row>
    <row r="179">
      <c r="A179" s="16">
        <f>IF($B179="","",ROW()-4)</f>
        <v/>
      </c>
      <c r="B179" s="20" t="n"/>
      <c r="C179" s="20" t="n"/>
      <c r="D179" s="20" t="n"/>
      <c r="E179" s="20" t="n"/>
      <c r="F179" s="20" t="n"/>
      <c r="G179" s="20" t="n"/>
      <c r="H179" s="30" t="n"/>
      <c r="I179" s="30" t="n"/>
      <c r="J179" s="30" t="n"/>
      <c r="K179" s="31">
        <f>IF($B179="","",IF(ISNUMBER($J179),$J179,$I179))</f>
        <v/>
      </c>
      <c r="L179" s="32">
        <f>IF($B179="","",IFERROR(VLOOKUP($G179,FXRates,4,FALSE),1))</f>
        <v/>
      </c>
      <c r="M179" s="33">
        <f>IF($B179="","",$H179*$K179*$L179)</f>
        <v/>
      </c>
      <c r="N179" s="21" t="n"/>
      <c r="O179" s="14">
        <f>IF($B179="","",IF($D179=CashLabel,IF(ISNUMBER($N179),$N179,1),MIN(IF(ISNUMBER($N179),$N179,IFERROR(VLOOKUP($D179,LVTable,2,FALSE),0)),LVCap)))</f>
        <v/>
      </c>
      <c r="P179" s="25">
        <f>IF($B179="","",$M179*$O179)</f>
        <v/>
      </c>
      <c r="Q179" s="16">
        <f>IF($B179="","",IFERROR(VLOOKUP($G179,FXRates,5,FALSE),$G179))</f>
        <v/>
      </c>
      <c r="R179" s="14">
        <f>IF($B179="","",IF($D179=CashLabel,"",SUMIFS($P$5:$P$204,$B$5:$B$204,$B179,$D$5:$D$204,"&lt;&gt;"&amp;CashLabel)/ConcDenom))</f>
        <v/>
      </c>
      <c r="S179" s="14">
        <f>IF($B179="","",IF($D179=CashLabel,"",SUMIFS($P$5:$P$204,$E$5:$E$204,$E179,$D$5:$D$204,"&lt;&gt;"&amp;CashLabel)/ConcDenom))</f>
        <v/>
      </c>
      <c r="T179" s="14">
        <f>IF($B179="","",IF($D179=CashLabel,"",SUMIFS($P$5:$P$204,$F$5:$F$204,$F179,$D$5:$D$204,"&lt;&gt;"&amp;CashLabel)/ConcDenom))</f>
        <v/>
      </c>
      <c r="U179" s="14">
        <f>IF($B179="","",IF($D179=CashLabel,"",SUMIFS($P$5:$P$204,$D$5:$D$204,$D179,$D$5:$D$204,"&lt;&gt;"&amp;CashLabel)/ConcDenom))</f>
        <v/>
      </c>
      <c r="V179" s="15">
        <f>IF($B179="","",IF($D179=CashLabel,1,IF($R179&gt;ThrSingle,ThrSingle/$R179,1)))</f>
        <v/>
      </c>
      <c r="W179" s="15">
        <f>IF($B179="","",IF($D179=CashLabel,1,IF($S179&gt;ThrIssuer,ThrIssuer/$S179,1)))</f>
        <v/>
      </c>
      <c r="X179" s="15">
        <f>IF($B179="","",IF($D179=CashLabel,1,IF($T179&gt;IFERROR(VLOOKUP($F179,CountryThr,2,FALSE),DefThrCountry),IFERROR(VLOOKUP($F179,CountryThr,2,FALSE),DefThrCountry)/$T179,1)))</f>
        <v/>
      </c>
      <c r="Y179" s="15">
        <f>IF($B179="","",IF($D179=CashLabel,1,IF($U179&gt;IFERROR(VLOOKUP($D179,LVTable,3,FALSE),DefThrAsset),IFERROR(VLOOKUP($D179,LVTable,3,FALSE),DefThrAsset)/$U179,1)))</f>
        <v/>
      </c>
      <c r="Z179" s="34">
        <f>IF($B179="","",IF($D179=CashLabel,1,MIN($V179:$Y179)))</f>
        <v/>
      </c>
      <c r="AA179" s="25">
        <f>IF($B179="","",$P179*$Z179)</f>
        <v/>
      </c>
      <c r="AB179" s="33">
        <f>IF($B179="","",$P179-$AA179)</f>
        <v/>
      </c>
      <c r="AC179" s="21" t="n"/>
      <c r="AD179" s="33">
        <f>IF($B179="","",$M179*(1+IF(ISNUMBER($AC179),$AC179,0)))</f>
        <v/>
      </c>
      <c r="AE179" s="33">
        <f>IF($B179="","",$AD179*$O179)</f>
        <v/>
      </c>
      <c r="AF179" s="14">
        <f>IF($B179="","",IF($D179=CashLabel,"",SUMIFS($AE$5:$AE$204,$B$5:$B$204,$B179,$D$5:$D$204,"&lt;&gt;"&amp;CashLabel)/ConcDenomStr))</f>
        <v/>
      </c>
      <c r="AG179" s="14">
        <f>IF($B179="","",IF($D179=CashLabel,"",SUMIFS($AE$5:$AE$204,$E$5:$E$204,$E179,$D$5:$D$204,"&lt;&gt;"&amp;CashLabel)/ConcDenomStr))</f>
        <v/>
      </c>
      <c r="AH179" s="14">
        <f>IF($B179="","",IF($D179=CashLabel,"",SUMIFS($AE$5:$AE$204,$F$5:$F$204,$F179,$D$5:$D$204,"&lt;&gt;"&amp;CashLabel)/ConcDenomStr))</f>
        <v/>
      </c>
      <c r="AI179" s="14">
        <f>IF($B179="","",IF($D179=CashLabel,"",SUMIFS($AE$5:$AE$204,$D$5:$D$204,$D179,$D$5:$D$204,"&lt;&gt;"&amp;CashLabel)/ConcDenomStr))</f>
        <v/>
      </c>
      <c r="AJ179" s="15">
        <f>IF($B179="","",IF($D179=CashLabel,1,MIN(IF($AF179&gt;ThrSingle,ThrSingle/$AF179,1),IF($AG179&gt;ThrIssuer,ThrIssuer/$AG179,1),IF($AH179&gt;IFERROR(VLOOKUP($F179,CountryThr,2,FALSE),DefThrCountry),IFERROR(VLOOKUP($F179,CountryThr,2,FALSE),DefThrCountry)/$AH179,1),IF($AI179&gt;IFERROR(VLOOKUP($D179,LVTable,3,FALSE),DefThrAsset),IFERROR(VLOOKUP($D179,LVTable,3,FALSE),DefThrAsset)/$AI179,1))))</f>
        <v/>
      </c>
      <c r="AK179" s="33">
        <f>IF($B179="","",$AE179*$AJ179)</f>
        <v/>
      </c>
    </row>
    <row r="180">
      <c r="A180" s="16">
        <f>IF($B180="","",ROW()-4)</f>
        <v/>
      </c>
      <c r="B180" s="20" t="n"/>
      <c r="C180" s="20" t="n"/>
      <c r="D180" s="20" t="n"/>
      <c r="E180" s="20" t="n"/>
      <c r="F180" s="20" t="n"/>
      <c r="G180" s="20" t="n"/>
      <c r="H180" s="30" t="n"/>
      <c r="I180" s="30" t="n"/>
      <c r="J180" s="30" t="n"/>
      <c r="K180" s="31">
        <f>IF($B180="","",IF(ISNUMBER($J180),$J180,$I180))</f>
        <v/>
      </c>
      <c r="L180" s="32">
        <f>IF($B180="","",IFERROR(VLOOKUP($G180,FXRates,4,FALSE),1))</f>
        <v/>
      </c>
      <c r="M180" s="33">
        <f>IF($B180="","",$H180*$K180*$L180)</f>
        <v/>
      </c>
      <c r="N180" s="21" t="n"/>
      <c r="O180" s="14">
        <f>IF($B180="","",IF($D180=CashLabel,IF(ISNUMBER($N180),$N180,1),MIN(IF(ISNUMBER($N180),$N180,IFERROR(VLOOKUP($D180,LVTable,2,FALSE),0)),LVCap)))</f>
        <v/>
      </c>
      <c r="P180" s="25">
        <f>IF($B180="","",$M180*$O180)</f>
        <v/>
      </c>
      <c r="Q180" s="16">
        <f>IF($B180="","",IFERROR(VLOOKUP($G180,FXRates,5,FALSE),$G180))</f>
        <v/>
      </c>
      <c r="R180" s="14">
        <f>IF($B180="","",IF($D180=CashLabel,"",SUMIFS($P$5:$P$204,$B$5:$B$204,$B180,$D$5:$D$204,"&lt;&gt;"&amp;CashLabel)/ConcDenom))</f>
        <v/>
      </c>
      <c r="S180" s="14">
        <f>IF($B180="","",IF($D180=CashLabel,"",SUMIFS($P$5:$P$204,$E$5:$E$204,$E180,$D$5:$D$204,"&lt;&gt;"&amp;CashLabel)/ConcDenom))</f>
        <v/>
      </c>
      <c r="T180" s="14">
        <f>IF($B180="","",IF($D180=CashLabel,"",SUMIFS($P$5:$P$204,$F$5:$F$204,$F180,$D$5:$D$204,"&lt;&gt;"&amp;CashLabel)/ConcDenom))</f>
        <v/>
      </c>
      <c r="U180" s="14">
        <f>IF($B180="","",IF($D180=CashLabel,"",SUMIFS($P$5:$P$204,$D$5:$D$204,$D180,$D$5:$D$204,"&lt;&gt;"&amp;CashLabel)/ConcDenom))</f>
        <v/>
      </c>
      <c r="V180" s="15">
        <f>IF($B180="","",IF($D180=CashLabel,1,IF($R180&gt;ThrSingle,ThrSingle/$R180,1)))</f>
        <v/>
      </c>
      <c r="W180" s="15">
        <f>IF($B180="","",IF($D180=CashLabel,1,IF($S180&gt;ThrIssuer,ThrIssuer/$S180,1)))</f>
        <v/>
      </c>
      <c r="X180" s="15">
        <f>IF($B180="","",IF($D180=CashLabel,1,IF($T180&gt;IFERROR(VLOOKUP($F180,CountryThr,2,FALSE),DefThrCountry),IFERROR(VLOOKUP($F180,CountryThr,2,FALSE),DefThrCountry)/$T180,1)))</f>
        <v/>
      </c>
      <c r="Y180" s="15">
        <f>IF($B180="","",IF($D180=CashLabel,1,IF($U180&gt;IFERROR(VLOOKUP($D180,LVTable,3,FALSE),DefThrAsset),IFERROR(VLOOKUP($D180,LVTable,3,FALSE),DefThrAsset)/$U180,1)))</f>
        <v/>
      </c>
      <c r="Z180" s="34">
        <f>IF($B180="","",IF($D180=CashLabel,1,MIN($V180:$Y180)))</f>
        <v/>
      </c>
      <c r="AA180" s="25">
        <f>IF($B180="","",$P180*$Z180)</f>
        <v/>
      </c>
      <c r="AB180" s="33">
        <f>IF($B180="","",$P180-$AA180)</f>
        <v/>
      </c>
      <c r="AC180" s="21" t="n"/>
      <c r="AD180" s="33">
        <f>IF($B180="","",$M180*(1+IF(ISNUMBER($AC180),$AC180,0)))</f>
        <v/>
      </c>
      <c r="AE180" s="33">
        <f>IF($B180="","",$AD180*$O180)</f>
        <v/>
      </c>
      <c r="AF180" s="14">
        <f>IF($B180="","",IF($D180=CashLabel,"",SUMIFS($AE$5:$AE$204,$B$5:$B$204,$B180,$D$5:$D$204,"&lt;&gt;"&amp;CashLabel)/ConcDenomStr))</f>
        <v/>
      </c>
      <c r="AG180" s="14">
        <f>IF($B180="","",IF($D180=CashLabel,"",SUMIFS($AE$5:$AE$204,$E$5:$E$204,$E180,$D$5:$D$204,"&lt;&gt;"&amp;CashLabel)/ConcDenomStr))</f>
        <v/>
      </c>
      <c r="AH180" s="14">
        <f>IF($B180="","",IF($D180=CashLabel,"",SUMIFS($AE$5:$AE$204,$F$5:$F$204,$F180,$D$5:$D$204,"&lt;&gt;"&amp;CashLabel)/ConcDenomStr))</f>
        <v/>
      </c>
      <c r="AI180" s="14">
        <f>IF($B180="","",IF($D180=CashLabel,"",SUMIFS($AE$5:$AE$204,$D$5:$D$204,$D180,$D$5:$D$204,"&lt;&gt;"&amp;CashLabel)/ConcDenomStr))</f>
        <v/>
      </c>
      <c r="AJ180" s="15">
        <f>IF($B180="","",IF($D180=CashLabel,1,MIN(IF($AF180&gt;ThrSingle,ThrSingle/$AF180,1),IF($AG180&gt;ThrIssuer,ThrIssuer/$AG180,1),IF($AH180&gt;IFERROR(VLOOKUP($F180,CountryThr,2,FALSE),DefThrCountry),IFERROR(VLOOKUP($F180,CountryThr,2,FALSE),DefThrCountry)/$AH180,1),IF($AI180&gt;IFERROR(VLOOKUP($D180,LVTable,3,FALSE),DefThrAsset),IFERROR(VLOOKUP($D180,LVTable,3,FALSE),DefThrAsset)/$AI180,1))))</f>
        <v/>
      </c>
      <c r="AK180" s="33">
        <f>IF($B180="","",$AE180*$AJ180)</f>
        <v/>
      </c>
    </row>
    <row r="181">
      <c r="A181" s="16">
        <f>IF($B181="","",ROW()-4)</f>
        <v/>
      </c>
      <c r="B181" s="20" t="n"/>
      <c r="C181" s="20" t="n"/>
      <c r="D181" s="20" t="n"/>
      <c r="E181" s="20" t="n"/>
      <c r="F181" s="20" t="n"/>
      <c r="G181" s="20" t="n"/>
      <c r="H181" s="30" t="n"/>
      <c r="I181" s="30" t="n"/>
      <c r="J181" s="30" t="n"/>
      <c r="K181" s="31">
        <f>IF($B181="","",IF(ISNUMBER($J181),$J181,$I181))</f>
        <v/>
      </c>
      <c r="L181" s="32">
        <f>IF($B181="","",IFERROR(VLOOKUP($G181,FXRates,4,FALSE),1))</f>
        <v/>
      </c>
      <c r="M181" s="33">
        <f>IF($B181="","",$H181*$K181*$L181)</f>
        <v/>
      </c>
      <c r="N181" s="21" t="n"/>
      <c r="O181" s="14">
        <f>IF($B181="","",IF($D181=CashLabel,IF(ISNUMBER($N181),$N181,1),MIN(IF(ISNUMBER($N181),$N181,IFERROR(VLOOKUP($D181,LVTable,2,FALSE),0)),LVCap)))</f>
        <v/>
      </c>
      <c r="P181" s="25">
        <f>IF($B181="","",$M181*$O181)</f>
        <v/>
      </c>
      <c r="Q181" s="16">
        <f>IF($B181="","",IFERROR(VLOOKUP($G181,FXRates,5,FALSE),$G181))</f>
        <v/>
      </c>
      <c r="R181" s="14">
        <f>IF($B181="","",IF($D181=CashLabel,"",SUMIFS($P$5:$P$204,$B$5:$B$204,$B181,$D$5:$D$204,"&lt;&gt;"&amp;CashLabel)/ConcDenom))</f>
        <v/>
      </c>
      <c r="S181" s="14">
        <f>IF($B181="","",IF($D181=CashLabel,"",SUMIFS($P$5:$P$204,$E$5:$E$204,$E181,$D$5:$D$204,"&lt;&gt;"&amp;CashLabel)/ConcDenom))</f>
        <v/>
      </c>
      <c r="T181" s="14">
        <f>IF($B181="","",IF($D181=CashLabel,"",SUMIFS($P$5:$P$204,$F$5:$F$204,$F181,$D$5:$D$204,"&lt;&gt;"&amp;CashLabel)/ConcDenom))</f>
        <v/>
      </c>
      <c r="U181" s="14">
        <f>IF($B181="","",IF($D181=CashLabel,"",SUMIFS($P$5:$P$204,$D$5:$D$204,$D181,$D$5:$D$204,"&lt;&gt;"&amp;CashLabel)/ConcDenom))</f>
        <v/>
      </c>
      <c r="V181" s="15">
        <f>IF($B181="","",IF($D181=CashLabel,1,IF($R181&gt;ThrSingle,ThrSingle/$R181,1)))</f>
        <v/>
      </c>
      <c r="W181" s="15">
        <f>IF($B181="","",IF($D181=CashLabel,1,IF($S181&gt;ThrIssuer,ThrIssuer/$S181,1)))</f>
        <v/>
      </c>
      <c r="X181" s="15">
        <f>IF($B181="","",IF($D181=CashLabel,1,IF($T181&gt;IFERROR(VLOOKUP($F181,CountryThr,2,FALSE),DefThrCountry),IFERROR(VLOOKUP($F181,CountryThr,2,FALSE),DefThrCountry)/$T181,1)))</f>
        <v/>
      </c>
      <c r="Y181" s="15">
        <f>IF($B181="","",IF($D181=CashLabel,1,IF($U181&gt;IFERROR(VLOOKUP($D181,LVTable,3,FALSE),DefThrAsset),IFERROR(VLOOKUP($D181,LVTable,3,FALSE),DefThrAsset)/$U181,1)))</f>
        <v/>
      </c>
      <c r="Z181" s="34">
        <f>IF($B181="","",IF($D181=CashLabel,1,MIN($V181:$Y181)))</f>
        <v/>
      </c>
      <c r="AA181" s="25">
        <f>IF($B181="","",$P181*$Z181)</f>
        <v/>
      </c>
      <c r="AB181" s="33">
        <f>IF($B181="","",$P181-$AA181)</f>
        <v/>
      </c>
      <c r="AC181" s="21" t="n"/>
      <c r="AD181" s="33">
        <f>IF($B181="","",$M181*(1+IF(ISNUMBER($AC181),$AC181,0)))</f>
        <v/>
      </c>
      <c r="AE181" s="33">
        <f>IF($B181="","",$AD181*$O181)</f>
        <v/>
      </c>
      <c r="AF181" s="14">
        <f>IF($B181="","",IF($D181=CashLabel,"",SUMIFS($AE$5:$AE$204,$B$5:$B$204,$B181,$D$5:$D$204,"&lt;&gt;"&amp;CashLabel)/ConcDenomStr))</f>
        <v/>
      </c>
      <c r="AG181" s="14">
        <f>IF($B181="","",IF($D181=CashLabel,"",SUMIFS($AE$5:$AE$204,$E$5:$E$204,$E181,$D$5:$D$204,"&lt;&gt;"&amp;CashLabel)/ConcDenomStr))</f>
        <v/>
      </c>
      <c r="AH181" s="14">
        <f>IF($B181="","",IF($D181=CashLabel,"",SUMIFS($AE$5:$AE$204,$F$5:$F$204,$F181,$D$5:$D$204,"&lt;&gt;"&amp;CashLabel)/ConcDenomStr))</f>
        <v/>
      </c>
      <c r="AI181" s="14">
        <f>IF($B181="","",IF($D181=CashLabel,"",SUMIFS($AE$5:$AE$204,$D$5:$D$204,$D181,$D$5:$D$204,"&lt;&gt;"&amp;CashLabel)/ConcDenomStr))</f>
        <v/>
      </c>
      <c r="AJ181" s="15">
        <f>IF($B181="","",IF($D181=CashLabel,1,MIN(IF($AF181&gt;ThrSingle,ThrSingle/$AF181,1),IF($AG181&gt;ThrIssuer,ThrIssuer/$AG181,1),IF($AH181&gt;IFERROR(VLOOKUP($F181,CountryThr,2,FALSE),DefThrCountry),IFERROR(VLOOKUP($F181,CountryThr,2,FALSE),DefThrCountry)/$AH181,1),IF($AI181&gt;IFERROR(VLOOKUP($D181,LVTable,3,FALSE),DefThrAsset),IFERROR(VLOOKUP($D181,LVTable,3,FALSE),DefThrAsset)/$AI181,1))))</f>
        <v/>
      </c>
      <c r="AK181" s="33">
        <f>IF($B181="","",$AE181*$AJ181)</f>
        <v/>
      </c>
    </row>
    <row r="182">
      <c r="A182" s="16">
        <f>IF($B182="","",ROW()-4)</f>
        <v/>
      </c>
      <c r="B182" s="20" t="n"/>
      <c r="C182" s="20" t="n"/>
      <c r="D182" s="20" t="n"/>
      <c r="E182" s="20" t="n"/>
      <c r="F182" s="20" t="n"/>
      <c r="G182" s="20" t="n"/>
      <c r="H182" s="30" t="n"/>
      <c r="I182" s="30" t="n"/>
      <c r="J182" s="30" t="n"/>
      <c r="K182" s="31">
        <f>IF($B182="","",IF(ISNUMBER($J182),$J182,$I182))</f>
        <v/>
      </c>
      <c r="L182" s="32">
        <f>IF($B182="","",IFERROR(VLOOKUP($G182,FXRates,4,FALSE),1))</f>
        <v/>
      </c>
      <c r="M182" s="33">
        <f>IF($B182="","",$H182*$K182*$L182)</f>
        <v/>
      </c>
      <c r="N182" s="21" t="n"/>
      <c r="O182" s="14">
        <f>IF($B182="","",IF($D182=CashLabel,IF(ISNUMBER($N182),$N182,1),MIN(IF(ISNUMBER($N182),$N182,IFERROR(VLOOKUP($D182,LVTable,2,FALSE),0)),LVCap)))</f>
        <v/>
      </c>
      <c r="P182" s="25">
        <f>IF($B182="","",$M182*$O182)</f>
        <v/>
      </c>
      <c r="Q182" s="16">
        <f>IF($B182="","",IFERROR(VLOOKUP($G182,FXRates,5,FALSE),$G182))</f>
        <v/>
      </c>
      <c r="R182" s="14">
        <f>IF($B182="","",IF($D182=CashLabel,"",SUMIFS($P$5:$P$204,$B$5:$B$204,$B182,$D$5:$D$204,"&lt;&gt;"&amp;CashLabel)/ConcDenom))</f>
        <v/>
      </c>
      <c r="S182" s="14">
        <f>IF($B182="","",IF($D182=CashLabel,"",SUMIFS($P$5:$P$204,$E$5:$E$204,$E182,$D$5:$D$204,"&lt;&gt;"&amp;CashLabel)/ConcDenom))</f>
        <v/>
      </c>
      <c r="T182" s="14">
        <f>IF($B182="","",IF($D182=CashLabel,"",SUMIFS($P$5:$P$204,$F$5:$F$204,$F182,$D$5:$D$204,"&lt;&gt;"&amp;CashLabel)/ConcDenom))</f>
        <v/>
      </c>
      <c r="U182" s="14">
        <f>IF($B182="","",IF($D182=CashLabel,"",SUMIFS($P$5:$P$204,$D$5:$D$204,$D182,$D$5:$D$204,"&lt;&gt;"&amp;CashLabel)/ConcDenom))</f>
        <v/>
      </c>
      <c r="V182" s="15">
        <f>IF($B182="","",IF($D182=CashLabel,1,IF($R182&gt;ThrSingle,ThrSingle/$R182,1)))</f>
        <v/>
      </c>
      <c r="W182" s="15">
        <f>IF($B182="","",IF($D182=CashLabel,1,IF($S182&gt;ThrIssuer,ThrIssuer/$S182,1)))</f>
        <v/>
      </c>
      <c r="X182" s="15">
        <f>IF($B182="","",IF($D182=CashLabel,1,IF($T182&gt;IFERROR(VLOOKUP($F182,CountryThr,2,FALSE),DefThrCountry),IFERROR(VLOOKUP($F182,CountryThr,2,FALSE),DefThrCountry)/$T182,1)))</f>
        <v/>
      </c>
      <c r="Y182" s="15">
        <f>IF($B182="","",IF($D182=CashLabel,1,IF($U182&gt;IFERROR(VLOOKUP($D182,LVTable,3,FALSE),DefThrAsset),IFERROR(VLOOKUP($D182,LVTable,3,FALSE),DefThrAsset)/$U182,1)))</f>
        <v/>
      </c>
      <c r="Z182" s="34">
        <f>IF($B182="","",IF($D182=CashLabel,1,MIN($V182:$Y182)))</f>
        <v/>
      </c>
      <c r="AA182" s="25">
        <f>IF($B182="","",$P182*$Z182)</f>
        <v/>
      </c>
      <c r="AB182" s="33">
        <f>IF($B182="","",$P182-$AA182)</f>
        <v/>
      </c>
      <c r="AC182" s="21" t="n"/>
      <c r="AD182" s="33">
        <f>IF($B182="","",$M182*(1+IF(ISNUMBER($AC182),$AC182,0)))</f>
        <v/>
      </c>
      <c r="AE182" s="33">
        <f>IF($B182="","",$AD182*$O182)</f>
        <v/>
      </c>
      <c r="AF182" s="14">
        <f>IF($B182="","",IF($D182=CashLabel,"",SUMIFS($AE$5:$AE$204,$B$5:$B$204,$B182,$D$5:$D$204,"&lt;&gt;"&amp;CashLabel)/ConcDenomStr))</f>
        <v/>
      </c>
      <c r="AG182" s="14">
        <f>IF($B182="","",IF($D182=CashLabel,"",SUMIFS($AE$5:$AE$204,$E$5:$E$204,$E182,$D$5:$D$204,"&lt;&gt;"&amp;CashLabel)/ConcDenomStr))</f>
        <v/>
      </c>
      <c r="AH182" s="14">
        <f>IF($B182="","",IF($D182=CashLabel,"",SUMIFS($AE$5:$AE$204,$F$5:$F$204,$F182,$D$5:$D$204,"&lt;&gt;"&amp;CashLabel)/ConcDenomStr))</f>
        <v/>
      </c>
      <c r="AI182" s="14">
        <f>IF($B182="","",IF($D182=CashLabel,"",SUMIFS($AE$5:$AE$204,$D$5:$D$204,$D182,$D$5:$D$204,"&lt;&gt;"&amp;CashLabel)/ConcDenomStr))</f>
        <v/>
      </c>
      <c r="AJ182" s="15">
        <f>IF($B182="","",IF($D182=CashLabel,1,MIN(IF($AF182&gt;ThrSingle,ThrSingle/$AF182,1),IF($AG182&gt;ThrIssuer,ThrIssuer/$AG182,1),IF($AH182&gt;IFERROR(VLOOKUP($F182,CountryThr,2,FALSE),DefThrCountry),IFERROR(VLOOKUP($F182,CountryThr,2,FALSE),DefThrCountry)/$AH182,1),IF($AI182&gt;IFERROR(VLOOKUP($D182,LVTable,3,FALSE),DefThrAsset),IFERROR(VLOOKUP($D182,LVTable,3,FALSE),DefThrAsset)/$AI182,1))))</f>
        <v/>
      </c>
      <c r="AK182" s="33">
        <f>IF($B182="","",$AE182*$AJ182)</f>
        <v/>
      </c>
    </row>
    <row r="183">
      <c r="A183" s="16">
        <f>IF($B183="","",ROW()-4)</f>
        <v/>
      </c>
      <c r="B183" s="20" t="n"/>
      <c r="C183" s="20" t="n"/>
      <c r="D183" s="20" t="n"/>
      <c r="E183" s="20" t="n"/>
      <c r="F183" s="20" t="n"/>
      <c r="G183" s="20" t="n"/>
      <c r="H183" s="30" t="n"/>
      <c r="I183" s="30" t="n"/>
      <c r="J183" s="30" t="n"/>
      <c r="K183" s="31">
        <f>IF($B183="","",IF(ISNUMBER($J183),$J183,$I183))</f>
        <v/>
      </c>
      <c r="L183" s="32">
        <f>IF($B183="","",IFERROR(VLOOKUP($G183,FXRates,4,FALSE),1))</f>
        <v/>
      </c>
      <c r="M183" s="33">
        <f>IF($B183="","",$H183*$K183*$L183)</f>
        <v/>
      </c>
      <c r="N183" s="21" t="n"/>
      <c r="O183" s="14">
        <f>IF($B183="","",IF($D183=CashLabel,IF(ISNUMBER($N183),$N183,1),MIN(IF(ISNUMBER($N183),$N183,IFERROR(VLOOKUP($D183,LVTable,2,FALSE),0)),LVCap)))</f>
        <v/>
      </c>
      <c r="P183" s="25">
        <f>IF($B183="","",$M183*$O183)</f>
        <v/>
      </c>
      <c r="Q183" s="16">
        <f>IF($B183="","",IFERROR(VLOOKUP($G183,FXRates,5,FALSE),$G183))</f>
        <v/>
      </c>
      <c r="R183" s="14">
        <f>IF($B183="","",IF($D183=CashLabel,"",SUMIFS($P$5:$P$204,$B$5:$B$204,$B183,$D$5:$D$204,"&lt;&gt;"&amp;CashLabel)/ConcDenom))</f>
        <v/>
      </c>
      <c r="S183" s="14">
        <f>IF($B183="","",IF($D183=CashLabel,"",SUMIFS($P$5:$P$204,$E$5:$E$204,$E183,$D$5:$D$204,"&lt;&gt;"&amp;CashLabel)/ConcDenom))</f>
        <v/>
      </c>
      <c r="T183" s="14">
        <f>IF($B183="","",IF($D183=CashLabel,"",SUMIFS($P$5:$P$204,$F$5:$F$204,$F183,$D$5:$D$204,"&lt;&gt;"&amp;CashLabel)/ConcDenom))</f>
        <v/>
      </c>
      <c r="U183" s="14">
        <f>IF($B183="","",IF($D183=CashLabel,"",SUMIFS($P$5:$P$204,$D$5:$D$204,$D183,$D$5:$D$204,"&lt;&gt;"&amp;CashLabel)/ConcDenom))</f>
        <v/>
      </c>
      <c r="V183" s="15">
        <f>IF($B183="","",IF($D183=CashLabel,1,IF($R183&gt;ThrSingle,ThrSingle/$R183,1)))</f>
        <v/>
      </c>
      <c r="W183" s="15">
        <f>IF($B183="","",IF($D183=CashLabel,1,IF($S183&gt;ThrIssuer,ThrIssuer/$S183,1)))</f>
        <v/>
      </c>
      <c r="X183" s="15">
        <f>IF($B183="","",IF($D183=CashLabel,1,IF($T183&gt;IFERROR(VLOOKUP($F183,CountryThr,2,FALSE),DefThrCountry),IFERROR(VLOOKUP($F183,CountryThr,2,FALSE),DefThrCountry)/$T183,1)))</f>
        <v/>
      </c>
      <c r="Y183" s="15">
        <f>IF($B183="","",IF($D183=CashLabel,1,IF($U183&gt;IFERROR(VLOOKUP($D183,LVTable,3,FALSE),DefThrAsset),IFERROR(VLOOKUP($D183,LVTable,3,FALSE),DefThrAsset)/$U183,1)))</f>
        <v/>
      </c>
      <c r="Z183" s="34">
        <f>IF($B183="","",IF($D183=CashLabel,1,MIN($V183:$Y183)))</f>
        <v/>
      </c>
      <c r="AA183" s="25">
        <f>IF($B183="","",$P183*$Z183)</f>
        <v/>
      </c>
      <c r="AB183" s="33">
        <f>IF($B183="","",$P183-$AA183)</f>
        <v/>
      </c>
      <c r="AC183" s="21" t="n"/>
      <c r="AD183" s="33">
        <f>IF($B183="","",$M183*(1+IF(ISNUMBER($AC183),$AC183,0)))</f>
        <v/>
      </c>
      <c r="AE183" s="33">
        <f>IF($B183="","",$AD183*$O183)</f>
        <v/>
      </c>
      <c r="AF183" s="14">
        <f>IF($B183="","",IF($D183=CashLabel,"",SUMIFS($AE$5:$AE$204,$B$5:$B$204,$B183,$D$5:$D$204,"&lt;&gt;"&amp;CashLabel)/ConcDenomStr))</f>
        <v/>
      </c>
      <c r="AG183" s="14">
        <f>IF($B183="","",IF($D183=CashLabel,"",SUMIFS($AE$5:$AE$204,$E$5:$E$204,$E183,$D$5:$D$204,"&lt;&gt;"&amp;CashLabel)/ConcDenomStr))</f>
        <v/>
      </c>
      <c r="AH183" s="14">
        <f>IF($B183="","",IF($D183=CashLabel,"",SUMIFS($AE$5:$AE$204,$F$5:$F$204,$F183,$D$5:$D$204,"&lt;&gt;"&amp;CashLabel)/ConcDenomStr))</f>
        <v/>
      </c>
      <c r="AI183" s="14">
        <f>IF($B183="","",IF($D183=CashLabel,"",SUMIFS($AE$5:$AE$204,$D$5:$D$204,$D183,$D$5:$D$204,"&lt;&gt;"&amp;CashLabel)/ConcDenomStr))</f>
        <v/>
      </c>
      <c r="AJ183" s="15">
        <f>IF($B183="","",IF($D183=CashLabel,1,MIN(IF($AF183&gt;ThrSingle,ThrSingle/$AF183,1),IF($AG183&gt;ThrIssuer,ThrIssuer/$AG183,1),IF($AH183&gt;IFERROR(VLOOKUP($F183,CountryThr,2,FALSE),DefThrCountry),IFERROR(VLOOKUP($F183,CountryThr,2,FALSE),DefThrCountry)/$AH183,1),IF($AI183&gt;IFERROR(VLOOKUP($D183,LVTable,3,FALSE),DefThrAsset),IFERROR(VLOOKUP($D183,LVTable,3,FALSE),DefThrAsset)/$AI183,1))))</f>
        <v/>
      </c>
      <c r="AK183" s="33">
        <f>IF($B183="","",$AE183*$AJ183)</f>
        <v/>
      </c>
    </row>
    <row r="184">
      <c r="A184" s="16">
        <f>IF($B184="","",ROW()-4)</f>
        <v/>
      </c>
      <c r="B184" s="20" t="n"/>
      <c r="C184" s="20" t="n"/>
      <c r="D184" s="20" t="n"/>
      <c r="E184" s="20" t="n"/>
      <c r="F184" s="20" t="n"/>
      <c r="G184" s="20" t="n"/>
      <c r="H184" s="30" t="n"/>
      <c r="I184" s="30" t="n"/>
      <c r="J184" s="30" t="n"/>
      <c r="K184" s="31">
        <f>IF($B184="","",IF(ISNUMBER($J184),$J184,$I184))</f>
        <v/>
      </c>
      <c r="L184" s="32">
        <f>IF($B184="","",IFERROR(VLOOKUP($G184,FXRates,4,FALSE),1))</f>
        <v/>
      </c>
      <c r="M184" s="33">
        <f>IF($B184="","",$H184*$K184*$L184)</f>
        <v/>
      </c>
      <c r="N184" s="21" t="n"/>
      <c r="O184" s="14">
        <f>IF($B184="","",IF($D184=CashLabel,IF(ISNUMBER($N184),$N184,1),MIN(IF(ISNUMBER($N184),$N184,IFERROR(VLOOKUP($D184,LVTable,2,FALSE),0)),LVCap)))</f>
        <v/>
      </c>
      <c r="P184" s="25">
        <f>IF($B184="","",$M184*$O184)</f>
        <v/>
      </c>
      <c r="Q184" s="16">
        <f>IF($B184="","",IFERROR(VLOOKUP($G184,FXRates,5,FALSE),$G184))</f>
        <v/>
      </c>
      <c r="R184" s="14">
        <f>IF($B184="","",IF($D184=CashLabel,"",SUMIFS($P$5:$P$204,$B$5:$B$204,$B184,$D$5:$D$204,"&lt;&gt;"&amp;CashLabel)/ConcDenom))</f>
        <v/>
      </c>
      <c r="S184" s="14">
        <f>IF($B184="","",IF($D184=CashLabel,"",SUMIFS($P$5:$P$204,$E$5:$E$204,$E184,$D$5:$D$204,"&lt;&gt;"&amp;CashLabel)/ConcDenom))</f>
        <v/>
      </c>
      <c r="T184" s="14">
        <f>IF($B184="","",IF($D184=CashLabel,"",SUMIFS($P$5:$P$204,$F$5:$F$204,$F184,$D$5:$D$204,"&lt;&gt;"&amp;CashLabel)/ConcDenom))</f>
        <v/>
      </c>
      <c r="U184" s="14">
        <f>IF($B184="","",IF($D184=CashLabel,"",SUMIFS($P$5:$P$204,$D$5:$D$204,$D184,$D$5:$D$204,"&lt;&gt;"&amp;CashLabel)/ConcDenom))</f>
        <v/>
      </c>
      <c r="V184" s="15">
        <f>IF($B184="","",IF($D184=CashLabel,1,IF($R184&gt;ThrSingle,ThrSingle/$R184,1)))</f>
        <v/>
      </c>
      <c r="W184" s="15">
        <f>IF($B184="","",IF($D184=CashLabel,1,IF($S184&gt;ThrIssuer,ThrIssuer/$S184,1)))</f>
        <v/>
      </c>
      <c r="X184" s="15">
        <f>IF($B184="","",IF($D184=CashLabel,1,IF($T184&gt;IFERROR(VLOOKUP($F184,CountryThr,2,FALSE),DefThrCountry),IFERROR(VLOOKUP($F184,CountryThr,2,FALSE),DefThrCountry)/$T184,1)))</f>
        <v/>
      </c>
      <c r="Y184" s="15">
        <f>IF($B184="","",IF($D184=CashLabel,1,IF($U184&gt;IFERROR(VLOOKUP($D184,LVTable,3,FALSE),DefThrAsset),IFERROR(VLOOKUP($D184,LVTable,3,FALSE),DefThrAsset)/$U184,1)))</f>
        <v/>
      </c>
      <c r="Z184" s="34">
        <f>IF($B184="","",IF($D184=CashLabel,1,MIN($V184:$Y184)))</f>
        <v/>
      </c>
      <c r="AA184" s="25">
        <f>IF($B184="","",$P184*$Z184)</f>
        <v/>
      </c>
      <c r="AB184" s="33">
        <f>IF($B184="","",$P184-$AA184)</f>
        <v/>
      </c>
      <c r="AC184" s="21" t="n"/>
      <c r="AD184" s="33">
        <f>IF($B184="","",$M184*(1+IF(ISNUMBER($AC184),$AC184,0)))</f>
        <v/>
      </c>
      <c r="AE184" s="33">
        <f>IF($B184="","",$AD184*$O184)</f>
        <v/>
      </c>
      <c r="AF184" s="14">
        <f>IF($B184="","",IF($D184=CashLabel,"",SUMIFS($AE$5:$AE$204,$B$5:$B$204,$B184,$D$5:$D$204,"&lt;&gt;"&amp;CashLabel)/ConcDenomStr))</f>
        <v/>
      </c>
      <c r="AG184" s="14">
        <f>IF($B184="","",IF($D184=CashLabel,"",SUMIFS($AE$5:$AE$204,$E$5:$E$204,$E184,$D$5:$D$204,"&lt;&gt;"&amp;CashLabel)/ConcDenomStr))</f>
        <v/>
      </c>
      <c r="AH184" s="14">
        <f>IF($B184="","",IF($D184=CashLabel,"",SUMIFS($AE$5:$AE$204,$F$5:$F$204,$F184,$D$5:$D$204,"&lt;&gt;"&amp;CashLabel)/ConcDenomStr))</f>
        <v/>
      </c>
      <c r="AI184" s="14">
        <f>IF($B184="","",IF($D184=CashLabel,"",SUMIFS($AE$5:$AE$204,$D$5:$D$204,$D184,$D$5:$D$204,"&lt;&gt;"&amp;CashLabel)/ConcDenomStr))</f>
        <v/>
      </c>
      <c r="AJ184" s="15">
        <f>IF($B184="","",IF($D184=CashLabel,1,MIN(IF($AF184&gt;ThrSingle,ThrSingle/$AF184,1),IF($AG184&gt;ThrIssuer,ThrIssuer/$AG184,1),IF($AH184&gt;IFERROR(VLOOKUP($F184,CountryThr,2,FALSE),DefThrCountry),IFERROR(VLOOKUP($F184,CountryThr,2,FALSE),DefThrCountry)/$AH184,1),IF($AI184&gt;IFERROR(VLOOKUP($D184,LVTable,3,FALSE),DefThrAsset),IFERROR(VLOOKUP($D184,LVTable,3,FALSE),DefThrAsset)/$AI184,1))))</f>
        <v/>
      </c>
      <c r="AK184" s="33">
        <f>IF($B184="","",$AE184*$AJ184)</f>
        <v/>
      </c>
    </row>
    <row r="185">
      <c r="A185" s="16">
        <f>IF($B185="","",ROW()-4)</f>
        <v/>
      </c>
      <c r="B185" s="20" t="n"/>
      <c r="C185" s="20" t="n"/>
      <c r="D185" s="20" t="n"/>
      <c r="E185" s="20" t="n"/>
      <c r="F185" s="20" t="n"/>
      <c r="G185" s="20" t="n"/>
      <c r="H185" s="30" t="n"/>
      <c r="I185" s="30" t="n"/>
      <c r="J185" s="30" t="n"/>
      <c r="K185" s="31">
        <f>IF($B185="","",IF(ISNUMBER($J185),$J185,$I185))</f>
        <v/>
      </c>
      <c r="L185" s="32">
        <f>IF($B185="","",IFERROR(VLOOKUP($G185,FXRates,4,FALSE),1))</f>
        <v/>
      </c>
      <c r="M185" s="33">
        <f>IF($B185="","",$H185*$K185*$L185)</f>
        <v/>
      </c>
      <c r="N185" s="21" t="n"/>
      <c r="O185" s="14">
        <f>IF($B185="","",IF($D185=CashLabel,IF(ISNUMBER($N185),$N185,1),MIN(IF(ISNUMBER($N185),$N185,IFERROR(VLOOKUP($D185,LVTable,2,FALSE),0)),LVCap)))</f>
        <v/>
      </c>
      <c r="P185" s="25">
        <f>IF($B185="","",$M185*$O185)</f>
        <v/>
      </c>
      <c r="Q185" s="16">
        <f>IF($B185="","",IFERROR(VLOOKUP($G185,FXRates,5,FALSE),$G185))</f>
        <v/>
      </c>
      <c r="R185" s="14">
        <f>IF($B185="","",IF($D185=CashLabel,"",SUMIFS($P$5:$P$204,$B$5:$B$204,$B185,$D$5:$D$204,"&lt;&gt;"&amp;CashLabel)/ConcDenom))</f>
        <v/>
      </c>
      <c r="S185" s="14">
        <f>IF($B185="","",IF($D185=CashLabel,"",SUMIFS($P$5:$P$204,$E$5:$E$204,$E185,$D$5:$D$204,"&lt;&gt;"&amp;CashLabel)/ConcDenom))</f>
        <v/>
      </c>
      <c r="T185" s="14">
        <f>IF($B185="","",IF($D185=CashLabel,"",SUMIFS($P$5:$P$204,$F$5:$F$204,$F185,$D$5:$D$204,"&lt;&gt;"&amp;CashLabel)/ConcDenom))</f>
        <v/>
      </c>
      <c r="U185" s="14">
        <f>IF($B185="","",IF($D185=CashLabel,"",SUMIFS($P$5:$P$204,$D$5:$D$204,$D185,$D$5:$D$204,"&lt;&gt;"&amp;CashLabel)/ConcDenom))</f>
        <v/>
      </c>
      <c r="V185" s="15">
        <f>IF($B185="","",IF($D185=CashLabel,1,IF($R185&gt;ThrSingle,ThrSingle/$R185,1)))</f>
        <v/>
      </c>
      <c r="W185" s="15">
        <f>IF($B185="","",IF($D185=CashLabel,1,IF($S185&gt;ThrIssuer,ThrIssuer/$S185,1)))</f>
        <v/>
      </c>
      <c r="X185" s="15">
        <f>IF($B185="","",IF($D185=CashLabel,1,IF($T185&gt;IFERROR(VLOOKUP($F185,CountryThr,2,FALSE),DefThrCountry),IFERROR(VLOOKUP($F185,CountryThr,2,FALSE),DefThrCountry)/$T185,1)))</f>
        <v/>
      </c>
      <c r="Y185" s="15">
        <f>IF($B185="","",IF($D185=CashLabel,1,IF($U185&gt;IFERROR(VLOOKUP($D185,LVTable,3,FALSE),DefThrAsset),IFERROR(VLOOKUP($D185,LVTable,3,FALSE),DefThrAsset)/$U185,1)))</f>
        <v/>
      </c>
      <c r="Z185" s="34">
        <f>IF($B185="","",IF($D185=CashLabel,1,MIN($V185:$Y185)))</f>
        <v/>
      </c>
      <c r="AA185" s="25">
        <f>IF($B185="","",$P185*$Z185)</f>
        <v/>
      </c>
      <c r="AB185" s="33">
        <f>IF($B185="","",$P185-$AA185)</f>
        <v/>
      </c>
      <c r="AC185" s="21" t="n"/>
      <c r="AD185" s="33">
        <f>IF($B185="","",$M185*(1+IF(ISNUMBER($AC185),$AC185,0)))</f>
        <v/>
      </c>
      <c r="AE185" s="33">
        <f>IF($B185="","",$AD185*$O185)</f>
        <v/>
      </c>
      <c r="AF185" s="14">
        <f>IF($B185="","",IF($D185=CashLabel,"",SUMIFS($AE$5:$AE$204,$B$5:$B$204,$B185,$D$5:$D$204,"&lt;&gt;"&amp;CashLabel)/ConcDenomStr))</f>
        <v/>
      </c>
      <c r="AG185" s="14">
        <f>IF($B185="","",IF($D185=CashLabel,"",SUMIFS($AE$5:$AE$204,$E$5:$E$204,$E185,$D$5:$D$204,"&lt;&gt;"&amp;CashLabel)/ConcDenomStr))</f>
        <v/>
      </c>
      <c r="AH185" s="14">
        <f>IF($B185="","",IF($D185=CashLabel,"",SUMIFS($AE$5:$AE$204,$F$5:$F$204,$F185,$D$5:$D$204,"&lt;&gt;"&amp;CashLabel)/ConcDenomStr))</f>
        <v/>
      </c>
      <c r="AI185" s="14">
        <f>IF($B185="","",IF($D185=CashLabel,"",SUMIFS($AE$5:$AE$204,$D$5:$D$204,$D185,$D$5:$D$204,"&lt;&gt;"&amp;CashLabel)/ConcDenomStr))</f>
        <v/>
      </c>
      <c r="AJ185" s="15">
        <f>IF($B185="","",IF($D185=CashLabel,1,MIN(IF($AF185&gt;ThrSingle,ThrSingle/$AF185,1),IF($AG185&gt;ThrIssuer,ThrIssuer/$AG185,1),IF($AH185&gt;IFERROR(VLOOKUP($F185,CountryThr,2,FALSE),DefThrCountry),IFERROR(VLOOKUP($F185,CountryThr,2,FALSE),DefThrCountry)/$AH185,1),IF($AI185&gt;IFERROR(VLOOKUP($D185,LVTable,3,FALSE),DefThrAsset),IFERROR(VLOOKUP($D185,LVTable,3,FALSE),DefThrAsset)/$AI185,1))))</f>
        <v/>
      </c>
      <c r="AK185" s="33">
        <f>IF($B185="","",$AE185*$AJ185)</f>
        <v/>
      </c>
    </row>
    <row r="186">
      <c r="A186" s="16">
        <f>IF($B186="","",ROW()-4)</f>
        <v/>
      </c>
      <c r="B186" s="20" t="n"/>
      <c r="C186" s="20" t="n"/>
      <c r="D186" s="20" t="n"/>
      <c r="E186" s="20" t="n"/>
      <c r="F186" s="20" t="n"/>
      <c r="G186" s="20" t="n"/>
      <c r="H186" s="30" t="n"/>
      <c r="I186" s="30" t="n"/>
      <c r="J186" s="30" t="n"/>
      <c r="K186" s="31">
        <f>IF($B186="","",IF(ISNUMBER($J186),$J186,$I186))</f>
        <v/>
      </c>
      <c r="L186" s="32">
        <f>IF($B186="","",IFERROR(VLOOKUP($G186,FXRates,4,FALSE),1))</f>
        <v/>
      </c>
      <c r="M186" s="33">
        <f>IF($B186="","",$H186*$K186*$L186)</f>
        <v/>
      </c>
      <c r="N186" s="21" t="n"/>
      <c r="O186" s="14">
        <f>IF($B186="","",IF($D186=CashLabel,IF(ISNUMBER($N186),$N186,1),MIN(IF(ISNUMBER($N186),$N186,IFERROR(VLOOKUP($D186,LVTable,2,FALSE),0)),LVCap)))</f>
        <v/>
      </c>
      <c r="P186" s="25">
        <f>IF($B186="","",$M186*$O186)</f>
        <v/>
      </c>
      <c r="Q186" s="16">
        <f>IF($B186="","",IFERROR(VLOOKUP($G186,FXRates,5,FALSE),$G186))</f>
        <v/>
      </c>
      <c r="R186" s="14">
        <f>IF($B186="","",IF($D186=CashLabel,"",SUMIFS($P$5:$P$204,$B$5:$B$204,$B186,$D$5:$D$204,"&lt;&gt;"&amp;CashLabel)/ConcDenom))</f>
        <v/>
      </c>
      <c r="S186" s="14">
        <f>IF($B186="","",IF($D186=CashLabel,"",SUMIFS($P$5:$P$204,$E$5:$E$204,$E186,$D$5:$D$204,"&lt;&gt;"&amp;CashLabel)/ConcDenom))</f>
        <v/>
      </c>
      <c r="T186" s="14">
        <f>IF($B186="","",IF($D186=CashLabel,"",SUMIFS($P$5:$P$204,$F$5:$F$204,$F186,$D$5:$D$204,"&lt;&gt;"&amp;CashLabel)/ConcDenom))</f>
        <v/>
      </c>
      <c r="U186" s="14">
        <f>IF($B186="","",IF($D186=CashLabel,"",SUMIFS($P$5:$P$204,$D$5:$D$204,$D186,$D$5:$D$204,"&lt;&gt;"&amp;CashLabel)/ConcDenom))</f>
        <v/>
      </c>
      <c r="V186" s="15">
        <f>IF($B186="","",IF($D186=CashLabel,1,IF($R186&gt;ThrSingle,ThrSingle/$R186,1)))</f>
        <v/>
      </c>
      <c r="W186" s="15">
        <f>IF($B186="","",IF($D186=CashLabel,1,IF($S186&gt;ThrIssuer,ThrIssuer/$S186,1)))</f>
        <v/>
      </c>
      <c r="X186" s="15">
        <f>IF($B186="","",IF($D186=CashLabel,1,IF($T186&gt;IFERROR(VLOOKUP($F186,CountryThr,2,FALSE),DefThrCountry),IFERROR(VLOOKUP($F186,CountryThr,2,FALSE),DefThrCountry)/$T186,1)))</f>
        <v/>
      </c>
      <c r="Y186" s="15">
        <f>IF($B186="","",IF($D186=CashLabel,1,IF($U186&gt;IFERROR(VLOOKUP($D186,LVTable,3,FALSE),DefThrAsset),IFERROR(VLOOKUP($D186,LVTable,3,FALSE),DefThrAsset)/$U186,1)))</f>
        <v/>
      </c>
      <c r="Z186" s="34">
        <f>IF($B186="","",IF($D186=CashLabel,1,MIN($V186:$Y186)))</f>
        <v/>
      </c>
      <c r="AA186" s="25">
        <f>IF($B186="","",$P186*$Z186)</f>
        <v/>
      </c>
      <c r="AB186" s="33">
        <f>IF($B186="","",$P186-$AA186)</f>
        <v/>
      </c>
      <c r="AC186" s="21" t="n"/>
      <c r="AD186" s="33">
        <f>IF($B186="","",$M186*(1+IF(ISNUMBER($AC186),$AC186,0)))</f>
        <v/>
      </c>
      <c r="AE186" s="33">
        <f>IF($B186="","",$AD186*$O186)</f>
        <v/>
      </c>
      <c r="AF186" s="14">
        <f>IF($B186="","",IF($D186=CashLabel,"",SUMIFS($AE$5:$AE$204,$B$5:$B$204,$B186,$D$5:$D$204,"&lt;&gt;"&amp;CashLabel)/ConcDenomStr))</f>
        <v/>
      </c>
      <c r="AG186" s="14">
        <f>IF($B186="","",IF($D186=CashLabel,"",SUMIFS($AE$5:$AE$204,$E$5:$E$204,$E186,$D$5:$D$204,"&lt;&gt;"&amp;CashLabel)/ConcDenomStr))</f>
        <v/>
      </c>
      <c r="AH186" s="14">
        <f>IF($B186="","",IF($D186=CashLabel,"",SUMIFS($AE$5:$AE$204,$F$5:$F$204,$F186,$D$5:$D$204,"&lt;&gt;"&amp;CashLabel)/ConcDenomStr))</f>
        <v/>
      </c>
      <c r="AI186" s="14">
        <f>IF($B186="","",IF($D186=CashLabel,"",SUMIFS($AE$5:$AE$204,$D$5:$D$204,$D186,$D$5:$D$204,"&lt;&gt;"&amp;CashLabel)/ConcDenomStr))</f>
        <v/>
      </c>
      <c r="AJ186" s="15">
        <f>IF($B186="","",IF($D186=CashLabel,1,MIN(IF($AF186&gt;ThrSingle,ThrSingle/$AF186,1),IF($AG186&gt;ThrIssuer,ThrIssuer/$AG186,1),IF($AH186&gt;IFERROR(VLOOKUP($F186,CountryThr,2,FALSE),DefThrCountry),IFERROR(VLOOKUP($F186,CountryThr,2,FALSE),DefThrCountry)/$AH186,1),IF($AI186&gt;IFERROR(VLOOKUP($D186,LVTable,3,FALSE),DefThrAsset),IFERROR(VLOOKUP($D186,LVTable,3,FALSE),DefThrAsset)/$AI186,1))))</f>
        <v/>
      </c>
      <c r="AK186" s="33">
        <f>IF($B186="","",$AE186*$AJ186)</f>
        <v/>
      </c>
    </row>
    <row r="187">
      <c r="A187" s="16">
        <f>IF($B187="","",ROW()-4)</f>
        <v/>
      </c>
      <c r="B187" s="20" t="n"/>
      <c r="C187" s="20" t="n"/>
      <c r="D187" s="20" t="n"/>
      <c r="E187" s="20" t="n"/>
      <c r="F187" s="20" t="n"/>
      <c r="G187" s="20" t="n"/>
      <c r="H187" s="30" t="n"/>
      <c r="I187" s="30" t="n"/>
      <c r="J187" s="30" t="n"/>
      <c r="K187" s="31">
        <f>IF($B187="","",IF(ISNUMBER($J187),$J187,$I187))</f>
        <v/>
      </c>
      <c r="L187" s="32">
        <f>IF($B187="","",IFERROR(VLOOKUP($G187,FXRates,4,FALSE),1))</f>
        <v/>
      </c>
      <c r="M187" s="33">
        <f>IF($B187="","",$H187*$K187*$L187)</f>
        <v/>
      </c>
      <c r="N187" s="21" t="n"/>
      <c r="O187" s="14">
        <f>IF($B187="","",IF($D187=CashLabel,IF(ISNUMBER($N187),$N187,1),MIN(IF(ISNUMBER($N187),$N187,IFERROR(VLOOKUP($D187,LVTable,2,FALSE),0)),LVCap)))</f>
        <v/>
      </c>
      <c r="P187" s="25">
        <f>IF($B187="","",$M187*$O187)</f>
        <v/>
      </c>
      <c r="Q187" s="16">
        <f>IF($B187="","",IFERROR(VLOOKUP($G187,FXRates,5,FALSE),$G187))</f>
        <v/>
      </c>
      <c r="R187" s="14">
        <f>IF($B187="","",IF($D187=CashLabel,"",SUMIFS($P$5:$P$204,$B$5:$B$204,$B187,$D$5:$D$204,"&lt;&gt;"&amp;CashLabel)/ConcDenom))</f>
        <v/>
      </c>
      <c r="S187" s="14">
        <f>IF($B187="","",IF($D187=CashLabel,"",SUMIFS($P$5:$P$204,$E$5:$E$204,$E187,$D$5:$D$204,"&lt;&gt;"&amp;CashLabel)/ConcDenom))</f>
        <v/>
      </c>
      <c r="T187" s="14">
        <f>IF($B187="","",IF($D187=CashLabel,"",SUMIFS($P$5:$P$204,$F$5:$F$204,$F187,$D$5:$D$204,"&lt;&gt;"&amp;CashLabel)/ConcDenom))</f>
        <v/>
      </c>
      <c r="U187" s="14">
        <f>IF($B187="","",IF($D187=CashLabel,"",SUMIFS($P$5:$P$204,$D$5:$D$204,$D187,$D$5:$D$204,"&lt;&gt;"&amp;CashLabel)/ConcDenom))</f>
        <v/>
      </c>
      <c r="V187" s="15">
        <f>IF($B187="","",IF($D187=CashLabel,1,IF($R187&gt;ThrSingle,ThrSingle/$R187,1)))</f>
        <v/>
      </c>
      <c r="W187" s="15">
        <f>IF($B187="","",IF($D187=CashLabel,1,IF($S187&gt;ThrIssuer,ThrIssuer/$S187,1)))</f>
        <v/>
      </c>
      <c r="X187" s="15">
        <f>IF($B187="","",IF($D187=CashLabel,1,IF($T187&gt;IFERROR(VLOOKUP($F187,CountryThr,2,FALSE),DefThrCountry),IFERROR(VLOOKUP($F187,CountryThr,2,FALSE),DefThrCountry)/$T187,1)))</f>
        <v/>
      </c>
      <c r="Y187" s="15">
        <f>IF($B187="","",IF($D187=CashLabel,1,IF($U187&gt;IFERROR(VLOOKUP($D187,LVTable,3,FALSE),DefThrAsset),IFERROR(VLOOKUP($D187,LVTable,3,FALSE),DefThrAsset)/$U187,1)))</f>
        <v/>
      </c>
      <c r="Z187" s="34">
        <f>IF($B187="","",IF($D187=CashLabel,1,MIN($V187:$Y187)))</f>
        <v/>
      </c>
      <c r="AA187" s="25">
        <f>IF($B187="","",$P187*$Z187)</f>
        <v/>
      </c>
      <c r="AB187" s="33">
        <f>IF($B187="","",$P187-$AA187)</f>
        <v/>
      </c>
      <c r="AC187" s="21" t="n"/>
      <c r="AD187" s="33">
        <f>IF($B187="","",$M187*(1+IF(ISNUMBER($AC187),$AC187,0)))</f>
        <v/>
      </c>
      <c r="AE187" s="33">
        <f>IF($B187="","",$AD187*$O187)</f>
        <v/>
      </c>
      <c r="AF187" s="14">
        <f>IF($B187="","",IF($D187=CashLabel,"",SUMIFS($AE$5:$AE$204,$B$5:$B$204,$B187,$D$5:$D$204,"&lt;&gt;"&amp;CashLabel)/ConcDenomStr))</f>
        <v/>
      </c>
      <c r="AG187" s="14">
        <f>IF($B187="","",IF($D187=CashLabel,"",SUMIFS($AE$5:$AE$204,$E$5:$E$204,$E187,$D$5:$D$204,"&lt;&gt;"&amp;CashLabel)/ConcDenomStr))</f>
        <v/>
      </c>
      <c r="AH187" s="14">
        <f>IF($B187="","",IF($D187=CashLabel,"",SUMIFS($AE$5:$AE$204,$F$5:$F$204,$F187,$D$5:$D$204,"&lt;&gt;"&amp;CashLabel)/ConcDenomStr))</f>
        <v/>
      </c>
      <c r="AI187" s="14">
        <f>IF($B187="","",IF($D187=CashLabel,"",SUMIFS($AE$5:$AE$204,$D$5:$D$204,$D187,$D$5:$D$204,"&lt;&gt;"&amp;CashLabel)/ConcDenomStr))</f>
        <v/>
      </c>
      <c r="AJ187" s="15">
        <f>IF($B187="","",IF($D187=CashLabel,1,MIN(IF($AF187&gt;ThrSingle,ThrSingle/$AF187,1),IF($AG187&gt;ThrIssuer,ThrIssuer/$AG187,1),IF($AH187&gt;IFERROR(VLOOKUP($F187,CountryThr,2,FALSE),DefThrCountry),IFERROR(VLOOKUP($F187,CountryThr,2,FALSE),DefThrCountry)/$AH187,1),IF($AI187&gt;IFERROR(VLOOKUP($D187,LVTable,3,FALSE),DefThrAsset),IFERROR(VLOOKUP($D187,LVTable,3,FALSE),DefThrAsset)/$AI187,1))))</f>
        <v/>
      </c>
      <c r="AK187" s="33">
        <f>IF($B187="","",$AE187*$AJ187)</f>
        <v/>
      </c>
    </row>
    <row r="188">
      <c r="A188" s="16">
        <f>IF($B188="","",ROW()-4)</f>
        <v/>
      </c>
      <c r="B188" s="20" t="n"/>
      <c r="C188" s="20" t="n"/>
      <c r="D188" s="20" t="n"/>
      <c r="E188" s="20" t="n"/>
      <c r="F188" s="20" t="n"/>
      <c r="G188" s="20" t="n"/>
      <c r="H188" s="30" t="n"/>
      <c r="I188" s="30" t="n"/>
      <c r="J188" s="30" t="n"/>
      <c r="K188" s="31">
        <f>IF($B188="","",IF(ISNUMBER($J188),$J188,$I188))</f>
        <v/>
      </c>
      <c r="L188" s="32">
        <f>IF($B188="","",IFERROR(VLOOKUP($G188,FXRates,4,FALSE),1))</f>
        <v/>
      </c>
      <c r="M188" s="33">
        <f>IF($B188="","",$H188*$K188*$L188)</f>
        <v/>
      </c>
      <c r="N188" s="21" t="n"/>
      <c r="O188" s="14">
        <f>IF($B188="","",IF($D188=CashLabel,IF(ISNUMBER($N188),$N188,1),MIN(IF(ISNUMBER($N188),$N188,IFERROR(VLOOKUP($D188,LVTable,2,FALSE),0)),LVCap)))</f>
        <v/>
      </c>
      <c r="P188" s="25">
        <f>IF($B188="","",$M188*$O188)</f>
        <v/>
      </c>
      <c r="Q188" s="16">
        <f>IF($B188="","",IFERROR(VLOOKUP($G188,FXRates,5,FALSE),$G188))</f>
        <v/>
      </c>
      <c r="R188" s="14">
        <f>IF($B188="","",IF($D188=CashLabel,"",SUMIFS($P$5:$P$204,$B$5:$B$204,$B188,$D$5:$D$204,"&lt;&gt;"&amp;CashLabel)/ConcDenom))</f>
        <v/>
      </c>
      <c r="S188" s="14">
        <f>IF($B188="","",IF($D188=CashLabel,"",SUMIFS($P$5:$P$204,$E$5:$E$204,$E188,$D$5:$D$204,"&lt;&gt;"&amp;CashLabel)/ConcDenom))</f>
        <v/>
      </c>
      <c r="T188" s="14">
        <f>IF($B188="","",IF($D188=CashLabel,"",SUMIFS($P$5:$P$204,$F$5:$F$204,$F188,$D$5:$D$204,"&lt;&gt;"&amp;CashLabel)/ConcDenom))</f>
        <v/>
      </c>
      <c r="U188" s="14">
        <f>IF($B188="","",IF($D188=CashLabel,"",SUMIFS($P$5:$P$204,$D$5:$D$204,$D188,$D$5:$D$204,"&lt;&gt;"&amp;CashLabel)/ConcDenom))</f>
        <v/>
      </c>
      <c r="V188" s="15">
        <f>IF($B188="","",IF($D188=CashLabel,1,IF($R188&gt;ThrSingle,ThrSingle/$R188,1)))</f>
        <v/>
      </c>
      <c r="W188" s="15">
        <f>IF($B188="","",IF($D188=CashLabel,1,IF($S188&gt;ThrIssuer,ThrIssuer/$S188,1)))</f>
        <v/>
      </c>
      <c r="X188" s="15">
        <f>IF($B188="","",IF($D188=CashLabel,1,IF($T188&gt;IFERROR(VLOOKUP($F188,CountryThr,2,FALSE),DefThrCountry),IFERROR(VLOOKUP($F188,CountryThr,2,FALSE),DefThrCountry)/$T188,1)))</f>
        <v/>
      </c>
      <c r="Y188" s="15">
        <f>IF($B188="","",IF($D188=CashLabel,1,IF($U188&gt;IFERROR(VLOOKUP($D188,LVTable,3,FALSE),DefThrAsset),IFERROR(VLOOKUP($D188,LVTable,3,FALSE),DefThrAsset)/$U188,1)))</f>
        <v/>
      </c>
      <c r="Z188" s="34">
        <f>IF($B188="","",IF($D188=CashLabel,1,MIN($V188:$Y188)))</f>
        <v/>
      </c>
      <c r="AA188" s="25">
        <f>IF($B188="","",$P188*$Z188)</f>
        <v/>
      </c>
      <c r="AB188" s="33">
        <f>IF($B188="","",$P188-$AA188)</f>
        <v/>
      </c>
      <c r="AC188" s="21" t="n"/>
      <c r="AD188" s="33">
        <f>IF($B188="","",$M188*(1+IF(ISNUMBER($AC188),$AC188,0)))</f>
        <v/>
      </c>
      <c r="AE188" s="33">
        <f>IF($B188="","",$AD188*$O188)</f>
        <v/>
      </c>
      <c r="AF188" s="14">
        <f>IF($B188="","",IF($D188=CashLabel,"",SUMIFS($AE$5:$AE$204,$B$5:$B$204,$B188,$D$5:$D$204,"&lt;&gt;"&amp;CashLabel)/ConcDenomStr))</f>
        <v/>
      </c>
      <c r="AG188" s="14">
        <f>IF($B188="","",IF($D188=CashLabel,"",SUMIFS($AE$5:$AE$204,$E$5:$E$204,$E188,$D$5:$D$204,"&lt;&gt;"&amp;CashLabel)/ConcDenomStr))</f>
        <v/>
      </c>
      <c r="AH188" s="14">
        <f>IF($B188="","",IF($D188=CashLabel,"",SUMIFS($AE$5:$AE$204,$F$5:$F$204,$F188,$D$5:$D$204,"&lt;&gt;"&amp;CashLabel)/ConcDenomStr))</f>
        <v/>
      </c>
      <c r="AI188" s="14">
        <f>IF($B188="","",IF($D188=CashLabel,"",SUMIFS($AE$5:$AE$204,$D$5:$D$204,$D188,$D$5:$D$204,"&lt;&gt;"&amp;CashLabel)/ConcDenomStr))</f>
        <v/>
      </c>
      <c r="AJ188" s="15">
        <f>IF($B188="","",IF($D188=CashLabel,1,MIN(IF($AF188&gt;ThrSingle,ThrSingle/$AF188,1),IF($AG188&gt;ThrIssuer,ThrIssuer/$AG188,1),IF($AH188&gt;IFERROR(VLOOKUP($F188,CountryThr,2,FALSE),DefThrCountry),IFERROR(VLOOKUP($F188,CountryThr,2,FALSE),DefThrCountry)/$AH188,1),IF($AI188&gt;IFERROR(VLOOKUP($D188,LVTable,3,FALSE),DefThrAsset),IFERROR(VLOOKUP($D188,LVTable,3,FALSE),DefThrAsset)/$AI188,1))))</f>
        <v/>
      </c>
      <c r="AK188" s="33">
        <f>IF($B188="","",$AE188*$AJ188)</f>
        <v/>
      </c>
    </row>
    <row r="189">
      <c r="A189" s="16">
        <f>IF($B189="","",ROW()-4)</f>
        <v/>
      </c>
      <c r="B189" s="20" t="n"/>
      <c r="C189" s="20" t="n"/>
      <c r="D189" s="20" t="n"/>
      <c r="E189" s="20" t="n"/>
      <c r="F189" s="20" t="n"/>
      <c r="G189" s="20" t="n"/>
      <c r="H189" s="30" t="n"/>
      <c r="I189" s="30" t="n"/>
      <c r="J189" s="30" t="n"/>
      <c r="K189" s="31">
        <f>IF($B189="","",IF(ISNUMBER($J189),$J189,$I189))</f>
        <v/>
      </c>
      <c r="L189" s="32">
        <f>IF($B189="","",IFERROR(VLOOKUP($G189,FXRates,4,FALSE),1))</f>
        <v/>
      </c>
      <c r="M189" s="33">
        <f>IF($B189="","",$H189*$K189*$L189)</f>
        <v/>
      </c>
      <c r="N189" s="21" t="n"/>
      <c r="O189" s="14">
        <f>IF($B189="","",IF($D189=CashLabel,IF(ISNUMBER($N189),$N189,1),MIN(IF(ISNUMBER($N189),$N189,IFERROR(VLOOKUP($D189,LVTable,2,FALSE),0)),LVCap)))</f>
        <v/>
      </c>
      <c r="P189" s="25">
        <f>IF($B189="","",$M189*$O189)</f>
        <v/>
      </c>
      <c r="Q189" s="16">
        <f>IF($B189="","",IFERROR(VLOOKUP($G189,FXRates,5,FALSE),$G189))</f>
        <v/>
      </c>
      <c r="R189" s="14">
        <f>IF($B189="","",IF($D189=CashLabel,"",SUMIFS($P$5:$P$204,$B$5:$B$204,$B189,$D$5:$D$204,"&lt;&gt;"&amp;CashLabel)/ConcDenom))</f>
        <v/>
      </c>
      <c r="S189" s="14">
        <f>IF($B189="","",IF($D189=CashLabel,"",SUMIFS($P$5:$P$204,$E$5:$E$204,$E189,$D$5:$D$204,"&lt;&gt;"&amp;CashLabel)/ConcDenom))</f>
        <v/>
      </c>
      <c r="T189" s="14">
        <f>IF($B189="","",IF($D189=CashLabel,"",SUMIFS($P$5:$P$204,$F$5:$F$204,$F189,$D$5:$D$204,"&lt;&gt;"&amp;CashLabel)/ConcDenom))</f>
        <v/>
      </c>
      <c r="U189" s="14">
        <f>IF($B189="","",IF($D189=CashLabel,"",SUMIFS($P$5:$P$204,$D$5:$D$204,$D189,$D$5:$D$204,"&lt;&gt;"&amp;CashLabel)/ConcDenom))</f>
        <v/>
      </c>
      <c r="V189" s="15">
        <f>IF($B189="","",IF($D189=CashLabel,1,IF($R189&gt;ThrSingle,ThrSingle/$R189,1)))</f>
        <v/>
      </c>
      <c r="W189" s="15">
        <f>IF($B189="","",IF($D189=CashLabel,1,IF($S189&gt;ThrIssuer,ThrIssuer/$S189,1)))</f>
        <v/>
      </c>
      <c r="X189" s="15">
        <f>IF($B189="","",IF($D189=CashLabel,1,IF($T189&gt;IFERROR(VLOOKUP($F189,CountryThr,2,FALSE),DefThrCountry),IFERROR(VLOOKUP($F189,CountryThr,2,FALSE),DefThrCountry)/$T189,1)))</f>
        <v/>
      </c>
      <c r="Y189" s="15">
        <f>IF($B189="","",IF($D189=CashLabel,1,IF($U189&gt;IFERROR(VLOOKUP($D189,LVTable,3,FALSE),DefThrAsset),IFERROR(VLOOKUP($D189,LVTable,3,FALSE),DefThrAsset)/$U189,1)))</f>
        <v/>
      </c>
      <c r="Z189" s="34">
        <f>IF($B189="","",IF($D189=CashLabel,1,MIN($V189:$Y189)))</f>
        <v/>
      </c>
      <c r="AA189" s="25">
        <f>IF($B189="","",$P189*$Z189)</f>
        <v/>
      </c>
      <c r="AB189" s="33">
        <f>IF($B189="","",$P189-$AA189)</f>
        <v/>
      </c>
      <c r="AC189" s="21" t="n"/>
      <c r="AD189" s="33">
        <f>IF($B189="","",$M189*(1+IF(ISNUMBER($AC189),$AC189,0)))</f>
        <v/>
      </c>
      <c r="AE189" s="33">
        <f>IF($B189="","",$AD189*$O189)</f>
        <v/>
      </c>
      <c r="AF189" s="14">
        <f>IF($B189="","",IF($D189=CashLabel,"",SUMIFS($AE$5:$AE$204,$B$5:$B$204,$B189,$D$5:$D$204,"&lt;&gt;"&amp;CashLabel)/ConcDenomStr))</f>
        <v/>
      </c>
      <c r="AG189" s="14">
        <f>IF($B189="","",IF($D189=CashLabel,"",SUMIFS($AE$5:$AE$204,$E$5:$E$204,$E189,$D$5:$D$204,"&lt;&gt;"&amp;CashLabel)/ConcDenomStr))</f>
        <v/>
      </c>
      <c r="AH189" s="14">
        <f>IF($B189="","",IF($D189=CashLabel,"",SUMIFS($AE$5:$AE$204,$F$5:$F$204,$F189,$D$5:$D$204,"&lt;&gt;"&amp;CashLabel)/ConcDenomStr))</f>
        <v/>
      </c>
      <c r="AI189" s="14">
        <f>IF($B189="","",IF($D189=CashLabel,"",SUMIFS($AE$5:$AE$204,$D$5:$D$204,$D189,$D$5:$D$204,"&lt;&gt;"&amp;CashLabel)/ConcDenomStr))</f>
        <v/>
      </c>
      <c r="AJ189" s="15">
        <f>IF($B189="","",IF($D189=CashLabel,1,MIN(IF($AF189&gt;ThrSingle,ThrSingle/$AF189,1),IF($AG189&gt;ThrIssuer,ThrIssuer/$AG189,1),IF($AH189&gt;IFERROR(VLOOKUP($F189,CountryThr,2,FALSE),DefThrCountry),IFERROR(VLOOKUP($F189,CountryThr,2,FALSE),DefThrCountry)/$AH189,1),IF($AI189&gt;IFERROR(VLOOKUP($D189,LVTable,3,FALSE),DefThrAsset),IFERROR(VLOOKUP($D189,LVTable,3,FALSE),DefThrAsset)/$AI189,1))))</f>
        <v/>
      </c>
      <c r="AK189" s="33">
        <f>IF($B189="","",$AE189*$AJ189)</f>
        <v/>
      </c>
    </row>
    <row r="190">
      <c r="A190" s="16">
        <f>IF($B190="","",ROW()-4)</f>
        <v/>
      </c>
      <c r="B190" s="20" t="n"/>
      <c r="C190" s="20" t="n"/>
      <c r="D190" s="20" t="n"/>
      <c r="E190" s="20" t="n"/>
      <c r="F190" s="20" t="n"/>
      <c r="G190" s="20" t="n"/>
      <c r="H190" s="30" t="n"/>
      <c r="I190" s="30" t="n"/>
      <c r="J190" s="30" t="n"/>
      <c r="K190" s="31">
        <f>IF($B190="","",IF(ISNUMBER($J190),$J190,$I190))</f>
        <v/>
      </c>
      <c r="L190" s="32">
        <f>IF($B190="","",IFERROR(VLOOKUP($G190,FXRates,4,FALSE),1))</f>
        <v/>
      </c>
      <c r="M190" s="33">
        <f>IF($B190="","",$H190*$K190*$L190)</f>
        <v/>
      </c>
      <c r="N190" s="21" t="n"/>
      <c r="O190" s="14">
        <f>IF($B190="","",IF($D190=CashLabel,IF(ISNUMBER($N190),$N190,1),MIN(IF(ISNUMBER($N190),$N190,IFERROR(VLOOKUP($D190,LVTable,2,FALSE),0)),LVCap)))</f>
        <v/>
      </c>
      <c r="P190" s="25">
        <f>IF($B190="","",$M190*$O190)</f>
        <v/>
      </c>
      <c r="Q190" s="16">
        <f>IF($B190="","",IFERROR(VLOOKUP($G190,FXRates,5,FALSE),$G190))</f>
        <v/>
      </c>
      <c r="R190" s="14">
        <f>IF($B190="","",IF($D190=CashLabel,"",SUMIFS($P$5:$P$204,$B$5:$B$204,$B190,$D$5:$D$204,"&lt;&gt;"&amp;CashLabel)/ConcDenom))</f>
        <v/>
      </c>
      <c r="S190" s="14">
        <f>IF($B190="","",IF($D190=CashLabel,"",SUMIFS($P$5:$P$204,$E$5:$E$204,$E190,$D$5:$D$204,"&lt;&gt;"&amp;CashLabel)/ConcDenom))</f>
        <v/>
      </c>
      <c r="T190" s="14">
        <f>IF($B190="","",IF($D190=CashLabel,"",SUMIFS($P$5:$P$204,$F$5:$F$204,$F190,$D$5:$D$204,"&lt;&gt;"&amp;CashLabel)/ConcDenom))</f>
        <v/>
      </c>
      <c r="U190" s="14">
        <f>IF($B190="","",IF($D190=CashLabel,"",SUMIFS($P$5:$P$204,$D$5:$D$204,$D190,$D$5:$D$204,"&lt;&gt;"&amp;CashLabel)/ConcDenom))</f>
        <v/>
      </c>
      <c r="V190" s="15">
        <f>IF($B190="","",IF($D190=CashLabel,1,IF($R190&gt;ThrSingle,ThrSingle/$R190,1)))</f>
        <v/>
      </c>
      <c r="W190" s="15">
        <f>IF($B190="","",IF($D190=CashLabel,1,IF($S190&gt;ThrIssuer,ThrIssuer/$S190,1)))</f>
        <v/>
      </c>
      <c r="X190" s="15">
        <f>IF($B190="","",IF($D190=CashLabel,1,IF($T190&gt;IFERROR(VLOOKUP($F190,CountryThr,2,FALSE),DefThrCountry),IFERROR(VLOOKUP($F190,CountryThr,2,FALSE),DefThrCountry)/$T190,1)))</f>
        <v/>
      </c>
      <c r="Y190" s="15">
        <f>IF($B190="","",IF($D190=CashLabel,1,IF($U190&gt;IFERROR(VLOOKUP($D190,LVTable,3,FALSE),DefThrAsset),IFERROR(VLOOKUP($D190,LVTable,3,FALSE),DefThrAsset)/$U190,1)))</f>
        <v/>
      </c>
      <c r="Z190" s="34">
        <f>IF($B190="","",IF($D190=CashLabel,1,MIN($V190:$Y190)))</f>
        <v/>
      </c>
      <c r="AA190" s="25">
        <f>IF($B190="","",$P190*$Z190)</f>
        <v/>
      </c>
      <c r="AB190" s="33">
        <f>IF($B190="","",$P190-$AA190)</f>
        <v/>
      </c>
      <c r="AC190" s="21" t="n"/>
      <c r="AD190" s="33">
        <f>IF($B190="","",$M190*(1+IF(ISNUMBER($AC190),$AC190,0)))</f>
        <v/>
      </c>
      <c r="AE190" s="33">
        <f>IF($B190="","",$AD190*$O190)</f>
        <v/>
      </c>
      <c r="AF190" s="14">
        <f>IF($B190="","",IF($D190=CashLabel,"",SUMIFS($AE$5:$AE$204,$B$5:$B$204,$B190,$D$5:$D$204,"&lt;&gt;"&amp;CashLabel)/ConcDenomStr))</f>
        <v/>
      </c>
      <c r="AG190" s="14">
        <f>IF($B190="","",IF($D190=CashLabel,"",SUMIFS($AE$5:$AE$204,$E$5:$E$204,$E190,$D$5:$D$204,"&lt;&gt;"&amp;CashLabel)/ConcDenomStr))</f>
        <v/>
      </c>
      <c r="AH190" s="14">
        <f>IF($B190="","",IF($D190=CashLabel,"",SUMIFS($AE$5:$AE$204,$F$5:$F$204,$F190,$D$5:$D$204,"&lt;&gt;"&amp;CashLabel)/ConcDenomStr))</f>
        <v/>
      </c>
      <c r="AI190" s="14">
        <f>IF($B190="","",IF($D190=CashLabel,"",SUMIFS($AE$5:$AE$204,$D$5:$D$204,$D190,$D$5:$D$204,"&lt;&gt;"&amp;CashLabel)/ConcDenomStr))</f>
        <v/>
      </c>
      <c r="AJ190" s="15">
        <f>IF($B190="","",IF($D190=CashLabel,1,MIN(IF($AF190&gt;ThrSingle,ThrSingle/$AF190,1),IF($AG190&gt;ThrIssuer,ThrIssuer/$AG190,1),IF($AH190&gt;IFERROR(VLOOKUP($F190,CountryThr,2,FALSE),DefThrCountry),IFERROR(VLOOKUP($F190,CountryThr,2,FALSE),DefThrCountry)/$AH190,1),IF($AI190&gt;IFERROR(VLOOKUP($D190,LVTable,3,FALSE),DefThrAsset),IFERROR(VLOOKUP($D190,LVTable,3,FALSE),DefThrAsset)/$AI190,1))))</f>
        <v/>
      </c>
      <c r="AK190" s="33">
        <f>IF($B190="","",$AE190*$AJ190)</f>
        <v/>
      </c>
    </row>
    <row r="191">
      <c r="A191" s="16">
        <f>IF($B191="","",ROW()-4)</f>
        <v/>
      </c>
      <c r="B191" s="20" t="n"/>
      <c r="C191" s="20" t="n"/>
      <c r="D191" s="20" t="n"/>
      <c r="E191" s="20" t="n"/>
      <c r="F191" s="20" t="n"/>
      <c r="G191" s="20" t="n"/>
      <c r="H191" s="30" t="n"/>
      <c r="I191" s="30" t="n"/>
      <c r="J191" s="30" t="n"/>
      <c r="K191" s="31">
        <f>IF($B191="","",IF(ISNUMBER($J191),$J191,$I191))</f>
        <v/>
      </c>
      <c r="L191" s="32">
        <f>IF($B191="","",IFERROR(VLOOKUP($G191,FXRates,4,FALSE),1))</f>
        <v/>
      </c>
      <c r="M191" s="33">
        <f>IF($B191="","",$H191*$K191*$L191)</f>
        <v/>
      </c>
      <c r="N191" s="21" t="n"/>
      <c r="O191" s="14">
        <f>IF($B191="","",IF($D191=CashLabel,IF(ISNUMBER($N191),$N191,1),MIN(IF(ISNUMBER($N191),$N191,IFERROR(VLOOKUP($D191,LVTable,2,FALSE),0)),LVCap)))</f>
        <v/>
      </c>
      <c r="P191" s="25">
        <f>IF($B191="","",$M191*$O191)</f>
        <v/>
      </c>
      <c r="Q191" s="16">
        <f>IF($B191="","",IFERROR(VLOOKUP($G191,FXRates,5,FALSE),$G191))</f>
        <v/>
      </c>
      <c r="R191" s="14">
        <f>IF($B191="","",IF($D191=CashLabel,"",SUMIFS($P$5:$P$204,$B$5:$B$204,$B191,$D$5:$D$204,"&lt;&gt;"&amp;CashLabel)/ConcDenom))</f>
        <v/>
      </c>
      <c r="S191" s="14">
        <f>IF($B191="","",IF($D191=CashLabel,"",SUMIFS($P$5:$P$204,$E$5:$E$204,$E191,$D$5:$D$204,"&lt;&gt;"&amp;CashLabel)/ConcDenom))</f>
        <v/>
      </c>
      <c r="T191" s="14">
        <f>IF($B191="","",IF($D191=CashLabel,"",SUMIFS($P$5:$P$204,$F$5:$F$204,$F191,$D$5:$D$204,"&lt;&gt;"&amp;CashLabel)/ConcDenom))</f>
        <v/>
      </c>
      <c r="U191" s="14">
        <f>IF($B191="","",IF($D191=CashLabel,"",SUMIFS($P$5:$P$204,$D$5:$D$204,$D191,$D$5:$D$204,"&lt;&gt;"&amp;CashLabel)/ConcDenom))</f>
        <v/>
      </c>
      <c r="V191" s="15">
        <f>IF($B191="","",IF($D191=CashLabel,1,IF($R191&gt;ThrSingle,ThrSingle/$R191,1)))</f>
        <v/>
      </c>
      <c r="W191" s="15">
        <f>IF($B191="","",IF($D191=CashLabel,1,IF($S191&gt;ThrIssuer,ThrIssuer/$S191,1)))</f>
        <v/>
      </c>
      <c r="X191" s="15">
        <f>IF($B191="","",IF($D191=CashLabel,1,IF($T191&gt;IFERROR(VLOOKUP($F191,CountryThr,2,FALSE),DefThrCountry),IFERROR(VLOOKUP($F191,CountryThr,2,FALSE),DefThrCountry)/$T191,1)))</f>
        <v/>
      </c>
      <c r="Y191" s="15">
        <f>IF($B191="","",IF($D191=CashLabel,1,IF($U191&gt;IFERROR(VLOOKUP($D191,LVTable,3,FALSE),DefThrAsset),IFERROR(VLOOKUP($D191,LVTable,3,FALSE),DefThrAsset)/$U191,1)))</f>
        <v/>
      </c>
      <c r="Z191" s="34">
        <f>IF($B191="","",IF($D191=CashLabel,1,MIN($V191:$Y191)))</f>
        <v/>
      </c>
      <c r="AA191" s="25">
        <f>IF($B191="","",$P191*$Z191)</f>
        <v/>
      </c>
      <c r="AB191" s="33">
        <f>IF($B191="","",$P191-$AA191)</f>
        <v/>
      </c>
      <c r="AC191" s="21" t="n"/>
      <c r="AD191" s="33">
        <f>IF($B191="","",$M191*(1+IF(ISNUMBER($AC191),$AC191,0)))</f>
        <v/>
      </c>
      <c r="AE191" s="33">
        <f>IF($B191="","",$AD191*$O191)</f>
        <v/>
      </c>
      <c r="AF191" s="14">
        <f>IF($B191="","",IF($D191=CashLabel,"",SUMIFS($AE$5:$AE$204,$B$5:$B$204,$B191,$D$5:$D$204,"&lt;&gt;"&amp;CashLabel)/ConcDenomStr))</f>
        <v/>
      </c>
      <c r="AG191" s="14">
        <f>IF($B191="","",IF($D191=CashLabel,"",SUMIFS($AE$5:$AE$204,$E$5:$E$204,$E191,$D$5:$D$204,"&lt;&gt;"&amp;CashLabel)/ConcDenomStr))</f>
        <v/>
      </c>
      <c r="AH191" s="14">
        <f>IF($B191="","",IF($D191=CashLabel,"",SUMIFS($AE$5:$AE$204,$F$5:$F$204,$F191,$D$5:$D$204,"&lt;&gt;"&amp;CashLabel)/ConcDenomStr))</f>
        <v/>
      </c>
      <c r="AI191" s="14">
        <f>IF($B191="","",IF($D191=CashLabel,"",SUMIFS($AE$5:$AE$204,$D$5:$D$204,$D191,$D$5:$D$204,"&lt;&gt;"&amp;CashLabel)/ConcDenomStr))</f>
        <v/>
      </c>
      <c r="AJ191" s="15">
        <f>IF($B191="","",IF($D191=CashLabel,1,MIN(IF($AF191&gt;ThrSingle,ThrSingle/$AF191,1),IF($AG191&gt;ThrIssuer,ThrIssuer/$AG191,1),IF($AH191&gt;IFERROR(VLOOKUP($F191,CountryThr,2,FALSE),DefThrCountry),IFERROR(VLOOKUP($F191,CountryThr,2,FALSE),DefThrCountry)/$AH191,1),IF($AI191&gt;IFERROR(VLOOKUP($D191,LVTable,3,FALSE),DefThrAsset),IFERROR(VLOOKUP($D191,LVTable,3,FALSE),DefThrAsset)/$AI191,1))))</f>
        <v/>
      </c>
      <c r="AK191" s="33">
        <f>IF($B191="","",$AE191*$AJ191)</f>
        <v/>
      </c>
    </row>
    <row r="192">
      <c r="A192" s="16">
        <f>IF($B192="","",ROW()-4)</f>
        <v/>
      </c>
      <c r="B192" s="20" t="n"/>
      <c r="C192" s="20" t="n"/>
      <c r="D192" s="20" t="n"/>
      <c r="E192" s="20" t="n"/>
      <c r="F192" s="20" t="n"/>
      <c r="G192" s="20" t="n"/>
      <c r="H192" s="30" t="n"/>
      <c r="I192" s="30" t="n"/>
      <c r="J192" s="30" t="n"/>
      <c r="K192" s="31">
        <f>IF($B192="","",IF(ISNUMBER($J192),$J192,$I192))</f>
        <v/>
      </c>
      <c r="L192" s="32">
        <f>IF($B192="","",IFERROR(VLOOKUP($G192,FXRates,4,FALSE),1))</f>
        <v/>
      </c>
      <c r="M192" s="33">
        <f>IF($B192="","",$H192*$K192*$L192)</f>
        <v/>
      </c>
      <c r="N192" s="21" t="n"/>
      <c r="O192" s="14">
        <f>IF($B192="","",IF($D192=CashLabel,IF(ISNUMBER($N192),$N192,1),MIN(IF(ISNUMBER($N192),$N192,IFERROR(VLOOKUP($D192,LVTable,2,FALSE),0)),LVCap)))</f>
        <v/>
      </c>
      <c r="P192" s="25">
        <f>IF($B192="","",$M192*$O192)</f>
        <v/>
      </c>
      <c r="Q192" s="16">
        <f>IF($B192="","",IFERROR(VLOOKUP($G192,FXRates,5,FALSE),$G192))</f>
        <v/>
      </c>
      <c r="R192" s="14">
        <f>IF($B192="","",IF($D192=CashLabel,"",SUMIFS($P$5:$P$204,$B$5:$B$204,$B192,$D$5:$D$204,"&lt;&gt;"&amp;CashLabel)/ConcDenom))</f>
        <v/>
      </c>
      <c r="S192" s="14">
        <f>IF($B192="","",IF($D192=CashLabel,"",SUMIFS($P$5:$P$204,$E$5:$E$204,$E192,$D$5:$D$204,"&lt;&gt;"&amp;CashLabel)/ConcDenom))</f>
        <v/>
      </c>
      <c r="T192" s="14">
        <f>IF($B192="","",IF($D192=CashLabel,"",SUMIFS($P$5:$P$204,$F$5:$F$204,$F192,$D$5:$D$204,"&lt;&gt;"&amp;CashLabel)/ConcDenom))</f>
        <v/>
      </c>
      <c r="U192" s="14">
        <f>IF($B192="","",IF($D192=CashLabel,"",SUMIFS($P$5:$P$204,$D$5:$D$204,$D192,$D$5:$D$204,"&lt;&gt;"&amp;CashLabel)/ConcDenom))</f>
        <v/>
      </c>
      <c r="V192" s="15">
        <f>IF($B192="","",IF($D192=CashLabel,1,IF($R192&gt;ThrSingle,ThrSingle/$R192,1)))</f>
        <v/>
      </c>
      <c r="W192" s="15">
        <f>IF($B192="","",IF($D192=CashLabel,1,IF($S192&gt;ThrIssuer,ThrIssuer/$S192,1)))</f>
        <v/>
      </c>
      <c r="X192" s="15">
        <f>IF($B192="","",IF($D192=CashLabel,1,IF($T192&gt;IFERROR(VLOOKUP($F192,CountryThr,2,FALSE),DefThrCountry),IFERROR(VLOOKUP($F192,CountryThr,2,FALSE),DefThrCountry)/$T192,1)))</f>
        <v/>
      </c>
      <c r="Y192" s="15">
        <f>IF($B192="","",IF($D192=CashLabel,1,IF($U192&gt;IFERROR(VLOOKUP($D192,LVTable,3,FALSE),DefThrAsset),IFERROR(VLOOKUP($D192,LVTable,3,FALSE),DefThrAsset)/$U192,1)))</f>
        <v/>
      </c>
      <c r="Z192" s="34">
        <f>IF($B192="","",IF($D192=CashLabel,1,MIN($V192:$Y192)))</f>
        <v/>
      </c>
      <c r="AA192" s="25">
        <f>IF($B192="","",$P192*$Z192)</f>
        <v/>
      </c>
      <c r="AB192" s="33">
        <f>IF($B192="","",$P192-$AA192)</f>
        <v/>
      </c>
      <c r="AC192" s="21" t="n"/>
      <c r="AD192" s="33">
        <f>IF($B192="","",$M192*(1+IF(ISNUMBER($AC192),$AC192,0)))</f>
        <v/>
      </c>
      <c r="AE192" s="33">
        <f>IF($B192="","",$AD192*$O192)</f>
        <v/>
      </c>
      <c r="AF192" s="14">
        <f>IF($B192="","",IF($D192=CashLabel,"",SUMIFS($AE$5:$AE$204,$B$5:$B$204,$B192,$D$5:$D$204,"&lt;&gt;"&amp;CashLabel)/ConcDenomStr))</f>
        <v/>
      </c>
      <c r="AG192" s="14">
        <f>IF($B192="","",IF($D192=CashLabel,"",SUMIFS($AE$5:$AE$204,$E$5:$E$204,$E192,$D$5:$D$204,"&lt;&gt;"&amp;CashLabel)/ConcDenomStr))</f>
        <v/>
      </c>
      <c r="AH192" s="14">
        <f>IF($B192="","",IF($D192=CashLabel,"",SUMIFS($AE$5:$AE$204,$F$5:$F$204,$F192,$D$5:$D$204,"&lt;&gt;"&amp;CashLabel)/ConcDenomStr))</f>
        <v/>
      </c>
      <c r="AI192" s="14">
        <f>IF($B192="","",IF($D192=CashLabel,"",SUMIFS($AE$5:$AE$204,$D$5:$D$204,$D192,$D$5:$D$204,"&lt;&gt;"&amp;CashLabel)/ConcDenomStr))</f>
        <v/>
      </c>
      <c r="AJ192" s="15">
        <f>IF($B192="","",IF($D192=CashLabel,1,MIN(IF($AF192&gt;ThrSingle,ThrSingle/$AF192,1),IF($AG192&gt;ThrIssuer,ThrIssuer/$AG192,1),IF($AH192&gt;IFERROR(VLOOKUP($F192,CountryThr,2,FALSE),DefThrCountry),IFERROR(VLOOKUP($F192,CountryThr,2,FALSE),DefThrCountry)/$AH192,1),IF($AI192&gt;IFERROR(VLOOKUP($D192,LVTable,3,FALSE),DefThrAsset),IFERROR(VLOOKUP($D192,LVTable,3,FALSE),DefThrAsset)/$AI192,1))))</f>
        <v/>
      </c>
      <c r="AK192" s="33">
        <f>IF($B192="","",$AE192*$AJ192)</f>
        <v/>
      </c>
    </row>
    <row r="193">
      <c r="A193" s="16">
        <f>IF($B193="","",ROW()-4)</f>
        <v/>
      </c>
      <c r="B193" s="20" t="n"/>
      <c r="C193" s="20" t="n"/>
      <c r="D193" s="20" t="n"/>
      <c r="E193" s="20" t="n"/>
      <c r="F193" s="20" t="n"/>
      <c r="G193" s="20" t="n"/>
      <c r="H193" s="30" t="n"/>
      <c r="I193" s="30" t="n"/>
      <c r="J193" s="30" t="n"/>
      <c r="K193" s="31">
        <f>IF($B193="","",IF(ISNUMBER($J193),$J193,$I193))</f>
        <v/>
      </c>
      <c r="L193" s="32">
        <f>IF($B193="","",IFERROR(VLOOKUP($G193,FXRates,4,FALSE),1))</f>
        <v/>
      </c>
      <c r="M193" s="33">
        <f>IF($B193="","",$H193*$K193*$L193)</f>
        <v/>
      </c>
      <c r="N193" s="21" t="n"/>
      <c r="O193" s="14">
        <f>IF($B193="","",IF($D193=CashLabel,IF(ISNUMBER($N193),$N193,1),MIN(IF(ISNUMBER($N193),$N193,IFERROR(VLOOKUP($D193,LVTable,2,FALSE),0)),LVCap)))</f>
        <v/>
      </c>
      <c r="P193" s="25">
        <f>IF($B193="","",$M193*$O193)</f>
        <v/>
      </c>
      <c r="Q193" s="16">
        <f>IF($B193="","",IFERROR(VLOOKUP($G193,FXRates,5,FALSE),$G193))</f>
        <v/>
      </c>
      <c r="R193" s="14">
        <f>IF($B193="","",IF($D193=CashLabel,"",SUMIFS($P$5:$P$204,$B$5:$B$204,$B193,$D$5:$D$204,"&lt;&gt;"&amp;CashLabel)/ConcDenom))</f>
        <v/>
      </c>
      <c r="S193" s="14">
        <f>IF($B193="","",IF($D193=CashLabel,"",SUMIFS($P$5:$P$204,$E$5:$E$204,$E193,$D$5:$D$204,"&lt;&gt;"&amp;CashLabel)/ConcDenom))</f>
        <v/>
      </c>
      <c r="T193" s="14">
        <f>IF($B193="","",IF($D193=CashLabel,"",SUMIFS($P$5:$P$204,$F$5:$F$204,$F193,$D$5:$D$204,"&lt;&gt;"&amp;CashLabel)/ConcDenom))</f>
        <v/>
      </c>
      <c r="U193" s="14">
        <f>IF($B193="","",IF($D193=CashLabel,"",SUMIFS($P$5:$P$204,$D$5:$D$204,$D193,$D$5:$D$204,"&lt;&gt;"&amp;CashLabel)/ConcDenom))</f>
        <v/>
      </c>
      <c r="V193" s="15">
        <f>IF($B193="","",IF($D193=CashLabel,1,IF($R193&gt;ThrSingle,ThrSingle/$R193,1)))</f>
        <v/>
      </c>
      <c r="W193" s="15">
        <f>IF($B193="","",IF($D193=CashLabel,1,IF($S193&gt;ThrIssuer,ThrIssuer/$S193,1)))</f>
        <v/>
      </c>
      <c r="X193" s="15">
        <f>IF($B193="","",IF($D193=CashLabel,1,IF($T193&gt;IFERROR(VLOOKUP($F193,CountryThr,2,FALSE),DefThrCountry),IFERROR(VLOOKUP($F193,CountryThr,2,FALSE),DefThrCountry)/$T193,1)))</f>
        <v/>
      </c>
      <c r="Y193" s="15">
        <f>IF($B193="","",IF($D193=CashLabel,1,IF($U193&gt;IFERROR(VLOOKUP($D193,LVTable,3,FALSE),DefThrAsset),IFERROR(VLOOKUP($D193,LVTable,3,FALSE),DefThrAsset)/$U193,1)))</f>
        <v/>
      </c>
      <c r="Z193" s="34">
        <f>IF($B193="","",IF($D193=CashLabel,1,MIN($V193:$Y193)))</f>
        <v/>
      </c>
      <c r="AA193" s="25">
        <f>IF($B193="","",$P193*$Z193)</f>
        <v/>
      </c>
      <c r="AB193" s="33">
        <f>IF($B193="","",$P193-$AA193)</f>
        <v/>
      </c>
      <c r="AC193" s="21" t="n"/>
      <c r="AD193" s="33">
        <f>IF($B193="","",$M193*(1+IF(ISNUMBER($AC193),$AC193,0)))</f>
        <v/>
      </c>
      <c r="AE193" s="33">
        <f>IF($B193="","",$AD193*$O193)</f>
        <v/>
      </c>
      <c r="AF193" s="14">
        <f>IF($B193="","",IF($D193=CashLabel,"",SUMIFS($AE$5:$AE$204,$B$5:$B$204,$B193,$D$5:$D$204,"&lt;&gt;"&amp;CashLabel)/ConcDenomStr))</f>
        <v/>
      </c>
      <c r="AG193" s="14">
        <f>IF($B193="","",IF($D193=CashLabel,"",SUMIFS($AE$5:$AE$204,$E$5:$E$204,$E193,$D$5:$D$204,"&lt;&gt;"&amp;CashLabel)/ConcDenomStr))</f>
        <v/>
      </c>
      <c r="AH193" s="14">
        <f>IF($B193="","",IF($D193=CashLabel,"",SUMIFS($AE$5:$AE$204,$F$5:$F$204,$F193,$D$5:$D$204,"&lt;&gt;"&amp;CashLabel)/ConcDenomStr))</f>
        <v/>
      </c>
      <c r="AI193" s="14">
        <f>IF($B193="","",IF($D193=CashLabel,"",SUMIFS($AE$5:$AE$204,$D$5:$D$204,$D193,$D$5:$D$204,"&lt;&gt;"&amp;CashLabel)/ConcDenomStr))</f>
        <v/>
      </c>
      <c r="AJ193" s="15">
        <f>IF($B193="","",IF($D193=CashLabel,1,MIN(IF($AF193&gt;ThrSingle,ThrSingle/$AF193,1),IF($AG193&gt;ThrIssuer,ThrIssuer/$AG193,1),IF($AH193&gt;IFERROR(VLOOKUP($F193,CountryThr,2,FALSE),DefThrCountry),IFERROR(VLOOKUP($F193,CountryThr,2,FALSE),DefThrCountry)/$AH193,1),IF($AI193&gt;IFERROR(VLOOKUP($D193,LVTable,3,FALSE),DefThrAsset),IFERROR(VLOOKUP($D193,LVTable,3,FALSE),DefThrAsset)/$AI193,1))))</f>
        <v/>
      </c>
      <c r="AK193" s="33">
        <f>IF($B193="","",$AE193*$AJ193)</f>
        <v/>
      </c>
    </row>
    <row r="194">
      <c r="A194" s="16">
        <f>IF($B194="","",ROW()-4)</f>
        <v/>
      </c>
      <c r="B194" s="20" t="n"/>
      <c r="C194" s="20" t="n"/>
      <c r="D194" s="20" t="n"/>
      <c r="E194" s="20" t="n"/>
      <c r="F194" s="20" t="n"/>
      <c r="G194" s="20" t="n"/>
      <c r="H194" s="30" t="n"/>
      <c r="I194" s="30" t="n"/>
      <c r="J194" s="30" t="n"/>
      <c r="K194" s="31">
        <f>IF($B194="","",IF(ISNUMBER($J194),$J194,$I194))</f>
        <v/>
      </c>
      <c r="L194" s="32">
        <f>IF($B194="","",IFERROR(VLOOKUP($G194,FXRates,4,FALSE),1))</f>
        <v/>
      </c>
      <c r="M194" s="33">
        <f>IF($B194="","",$H194*$K194*$L194)</f>
        <v/>
      </c>
      <c r="N194" s="21" t="n"/>
      <c r="O194" s="14">
        <f>IF($B194="","",IF($D194=CashLabel,IF(ISNUMBER($N194),$N194,1),MIN(IF(ISNUMBER($N194),$N194,IFERROR(VLOOKUP($D194,LVTable,2,FALSE),0)),LVCap)))</f>
        <v/>
      </c>
      <c r="P194" s="25">
        <f>IF($B194="","",$M194*$O194)</f>
        <v/>
      </c>
      <c r="Q194" s="16">
        <f>IF($B194="","",IFERROR(VLOOKUP($G194,FXRates,5,FALSE),$G194))</f>
        <v/>
      </c>
      <c r="R194" s="14">
        <f>IF($B194="","",IF($D194=CashLabel,"",SUMIFS($P$5:$P$204,$B$5:$B$204,$B194,$D$5:$D$204,"&lt;&gt;"&amp;CashLabel)/ConcDenom))</f>
        <v/>
      </c>
      <c r="S194" s="14">
        <f>IF($B194="","",IF($D194=CashLabel,"",SUMIFS($P$5:$P$204,$E$5:$E$204,$E194,$D$5:$D$204,"&lt;&gt;"&amp;CashLabel)/ConcDenom))</f>
        <v/>
      </c>
      <c r="T194" s="14">
        <f>IF($B194="","",IF($D194=CashLabel,"",SUMIFS($P$5:$P$204,$F$5:$F$204,$F194,$D$5:$D$204,"&lt;&gt;"&amp;CashLabel)/ConcDenom))</f>
        <v/>
      </c>
      <c r="U194" s="14">
        <f>IF($B194="","",IF($D194=CashLabel,"",SUMIFS($P$5:$P$204,$D$5:$D$204,$D194,$D$5:$D$204,"&lt;&gt;"&amp;CashLabel)/ConcDenom))</f>
        <v/>
      </c>
      <c r="V194" s="15">
        <f>IF($B194="","",IF($D194=CashLabel,1,IF($R194&gt;ThrSingle,ThrSingle/$R194,1)))</f>
        <v/>
      </c>
      <c r="W194" s="15">
        <f>IF($B194="","",IF($D194=CashLabel,1,IF($S194&gt;ThrIssuer,ThrIssuer/$S194,1)))</f>
        <v/>
      </c>
      <c r="X194" s="15">
        <f>IF($B194="","",IF($D194=CashLabel,1,IF($T194&gt;IFERROR(VLOOKUP($F194,CountryThr,2,FALSE),DefThrCountry),IFERROR(VLOOKUP($F194,CountryThr,2,FALSE),DefThrCountry)/$T194,1)))</f>
        <v/>
      </c>
      <c r="Y194" s="15">
        <f>IF($B194="","",IF($D194=CashLabel,1,IF($U194&gt;IFERROR(VLOOKUP($D194,LVTable,3,FALSE),DefThrAsset),IFERROR(VLOOKUP($D194,LVTable,3,FALSE),DefThrAsset)/$U194,1)))</f>
        <v/>
      </c>
      <c r="Z194" s="34">
        <f>IF($B194="","",IF($D194=CashLabel,1,MIN($V194:$Y194)))</f>
        <v/>
      </c>
      <c r="AA194" s="25">
        <f>IF($B194="","",$P194*$Z194)</f>
        <v/>
      </c>
      <c r="AB194" s="33">
        <f>IF($B194="","",$P194-$AA194)</f>
        <v/>
      </c>
      <c r="AC194" s="21" t="n"/>
      <c r="AD194" s="33">
        <f>IF($B194="","",$M194*(1+IF(ISNUMBER($AC194),$AC194,0)))</f>
        <v/>
      </c>
      <c r="AE194" s="33">
        <f>IF($B194="","",$AD194*$O194)</f>
        <v/>
      </c>
      <c r="AF194" s="14">
        <f>IF($B194="","",IF($D194=CashLabel,"",SUMIFS($AE$5:$AE$204,$B$5:$B$204,$B194,$D$5:$D$204,"&lt;&gt;"&amp;CashLabel)/ConcDenomStr))</f>
        <v/>
      </c>
      <c r="AG194" s="14">
        <f>IF($B194="","",IF($D194=CashLabel,"",SUMIFS($AE$5:$AE$204,$E$5:$E$204,$E194,$D$5:$D$204,"&lt;&gt;"&amp;CashLabel)/ConcDenomStr))</f>
        <v/>
      </c>
      <c r="AH194" s="14">
        <f>IF($B194="","",IF($D194=CashLabel,"",SUMIFS($AE$5:$AE$204,$F$5:$F$204,$F194,$D$5:$D$204,"&lt;&gt;"&amp;CashLabel)/ConcDenomStr))</f>
        <v/>
      </c>
      <c r="AI194" s="14">
        <f>IF($B194="","",IF($D194=CashLabel,"",SUMIFS($AE$5:$AE$204,$D$5:$D$204,$D194,$D$5:$D$204,"&lt;&gt;"&amp;CashLabel)/ConcDenomStr))</f>
        <v/>
      </c>
      <c r="AJ194" s="15">
        <f>IF($B194="","",IF($D194=CashLabel,1,MIN(IF($AF194&gt;ThrSingle,ThrSingle/$AF194,1),IF($AG194&gt;ThrIssuer,ThrIssuer/$AG194,1),IF($AH194&gt;IFERROR(VLOOKUP($F194,CountryThr,2,FALSE),DefThrCountry),IFERROR(VLOOKUP($F194,CountryThr,2,FALSE),DefThrCountry)/$AH194,1),IF($AI194&gt;IFERROR(VLOOKUP($D194,LVTable,3,FALSE),DefThrAsset),IFERROR(VLOOKUP($D194,LVTable,3,FALSE),DefThrAsset)/$AI194,1))))</f>
        <v/>
      </c>
      <c r="AK194" s="33">
        <f>IF($B194="","",$AE194*$AJ194)</f>
        <v/>
      </c>
    </row>
    <row r="195">
      <c r="A195" s="16">
        <f>IF($B195="","",ROW()-4)</f>
        <v/>
      </c>
      <c r="B195" s="20" t="n"/>
      <c r="C195" s="20" t="n"/>
      <c r="D195" s="20" t="n"/>
      <c r="E195" s="20" t="n"/>
      <c r="F195" s="20" t="n"/>
      <c r="G195" s="20" t="n"/>
      <c r="H195" s="30" t="n"/>
      <c r="I195" s="30" t="n"/>
      <c r="J195" s="30" t="n"/>
      <c r="K195" s="31">
        <f>IF($B195="","",IF(ISNUMBER($J195),$J195,$I195))</f>
        <v/>
      </c>
      <c r="L195" s="32">
        <f>IF($B195="","",IFERROR(VLOOKUP($G195,FXRates,4,FALSE),1))</f>
        <v/>
      </c>
      <c r="M195" s="33">
        <f>IF($B195="","",$H195*$K195*$L195)</f>
        <v/>
      </c>
      <c r="N195" s="21" t="n"/>
      <c r="O195" s="14">
        <f>IF($B195="","",IF($D195=CashLabel,IF(ISNUMBER($N195),$N195,1),MIN(IF(ISNUMBER($N195),$N195,IFERROR(VLOOKUP($D195,LVTable,2,FALSE),0)),LVCap)))</f>
        <v/>
      </c>
      <c r="P195" s="25">
        <f>IF($B195="","",$M195*$O195)</f>
        <v/>
      </c>
      <c r="Q195" s="16">
        <f>IF($B195="","",IFERROR(VLOOKUP($G195,FXRates,5,FALSE),$G195))</f>
        <v/>
      </c>
      <c r="R195" s="14">
        <f>IF($B195="","",IF($D195=CashLabel,"",SUMIFS($P$5:$P$204,$B$5:$B$204,$B195,$D$5:$D$204,"&lt;&gt;"&amp;CashLabel)/ConcDenom))</f>
        <v/>
      </c>
      <c r="S195" s="14">
        <f>IF($B195="","",IF($D195=CashLabel,"",SUMIFS($P$5:$P$204,$E$5:$E$204,$E195,$D$5:$D$204,"&lt;&gt;"&amp;CashLabel)/ConcDenom))</f>
        <v/>
      </c>
      <c r="T195" s="14">
        <f>IF($B195="","",IF($D195=CashLabel,"",SUMIFS($P$5:$P$204,$F$5:$F$204,$F195,$D$5:$D$204,"&lt;&gt;"&amp;CashLabel)/ConcDenom))</f>
        <v/>
      </c>
      <c r="U195" s="14">
        <f>IF($B195="","",IF($D195=CashLabel,"",SUMIFS($P$5:$P$204,$D$5:$D$204,$D195,$D$5:$D$204,"&lt;&gt;"&amp;CashLabel)/ConcDenom))</f>
        <v/>
      </c>
      <c r="V195" s="15">
        <f>IF($B195="","",IF($D195=CashLabel,1,IF($R195&gt;ThrSingle,ThrSingle/$R195,1)))</f>
        <v/>
      </c>
      <c r="W195" s="15">
        <f>IF($B195="","",IF($D195=CashLabel,1,IF($S195&gt;ThrIssuer,ThrIssuer/$S195,1)))</f>
        <v/>
      </c>
      <c r="X195" s="15">
        <f>IF($B195="","",IF($D195=CashLabel,1,IF($T195&gt;IFERROR(VLOOKUP($F195,CountryThr,2,FALSE),DefThrCountry),IFERROR(VLOOKUP($F195,CountryThr,2,FALSE),DefThrCountry)/$T195,1)))</f>
        <v/>
      </c>
      <c r="Y195" s="15">
        <f>IF($B195="","",IF($D195=CashLabel,1,IF($U195&gt;IFERROR(VLOOKUP($D195,LVTable,3,FALSE),DefThrAsset),IFERROR(VLOOKUP($D195,LVTable,3,FALSE),DefThrAsset)/$U195,1)))</f>
        <v/>
      </c>
      <c r="Z195" s="34">
        <f>IF($B195="","",IF($D195=CashLabel,1,MIN($V195:$Y195)))</f>
        <v/>
      </c>
      <c r="AA195" s="25">
        <f>IF($B195="","",$P195*$Z195)</f>
        <v/>
      </c>
      <c r="AB195" s="33">
        <f>IF($B195="","",$P195-$AA195)</f>
        <v/>
      </c>
      <c r="AC195" s="21" t="n"/>
      <c r="AD195" s="33">
        <f>IF($B195="","",$M195*(1+IF(ISNUMBER($AC195),$AC195,0)))</f>
        <v/>
      </c>
      <c r="AE195" s="33">
        <f>IF($B195="","",$AD195*$O195)</f>
        <v/>
      </c>
      <c r="AF195" s="14">
        <f>IF($B195="","",IF($D195=CashLabel,"",SUMIFS($AE$5:$AE$204,$B$5:$B$204,$B195,$D$5:$D$204,"&lt;&gt;"&amp;CashLabel)/ConcDenomStr))</f>
        <v/>
      </c>
      <c r="AG195" s="14">
        <f>IF($B195="","",IF($D195=CashLabel,"",SUMIFS($AE$5:$AE$204,$E$5:$E$204,$E195,$D$5:$D$204,"&lt;&gt;"&amp;CashLabel)/ConcDenomStr))</f>
        <v/>
      </c>
      <c r="AH195" s="14">
        <f>IF($B195="","",IF($D195=CashLabel,"",SUMIFS($AE$5:$AE$204,$F$5:$F$204,$F195,$D$5:$D$204,"&lt;&gt;"&amp;CashLabel)/ConcDenomStr))</f>
        <v/>
      </c>
      <c r="AI195" s="14">
        <f>IF($B195="","",IF($D195=CashLabel,"",SUMIFS($AE$5:$AE$204,$D$5:$D$204,$D195,$D$5:$D$204,"&lt;&gt;"&amp;CashLabel)/ConcDenomStr))</f>
        <v/>
      </c>
      <c r="AJ195" s="15">
        <f>IF($B195="","",IF($D195=CashLabel,1,MIN(IF($AF195&gt;ThrSingle,ThrSingle/$AF195,1),IF($AG195&gt;ThrIssuer,ThrIssuer/$AG195,1),IF($AH195&gt;IFERROR(VLOOKUP($F195,CountryThr,2,FALSE),DefThrCountry),IFERROR(VLOOKUP($F195,CountryThr,2,FALSE),DefThrCountry)/$AH195,1),IF($AI195&gt;IFERROR(VLOOKUP($D195,LVTable,3,FALSE),DefThrAsset),IFERROR(VLOOKUP($D195,LVTable,3,FALSE),DefThrAsset)/$AI195,1))))</f>
        <v/>
      </c>
      <c r="AK195" s="33">
        <f>IF($B195="","",$AE195*$AJ195)</f>
        <v/>
      </c>
    </row>
    <row r="196">
      <c r="A196" s="16">
        <f>IF($B196="","",ROW()-4)</f>
        <v/>
      </c>
      <c r="B196" s="20" t="n"/>
      <c r="C196" s="20" t="n"/>
      <c r="D196" s="20" t="n"/>
      <c r="E196" s="20" t="n"/>
      <c r="F196" s="20" t="n"/>
      <c r="G196" s="20" t="n"/>
      <c r="H196" s="30" t="n"/>
      <c r="I196" s="30" t="n"/>
      <c r="J196" s="30" t="n"/>
      <c r="K196" s="31">
        <f>IF($B196="","",IF(ISNUMBER($J196),$J196,$I196))</f>
        <v/>
      </c>
      <c r="L196" s="32">
        <f>IF($B196="","",IFERROR(VLOOKUP($G196,FXRates,4,FALSE),1))</f>
        <v/>
      </c>
      <c r="M196" s="33">
        <f>IF($B196="","",$H196*$K196*$L196)</f>
        <v/>
      </c>
      <c r="N196" s="21" t="n"/>
      <c r="O196" s="14">
        <f>IF($B196="","",IF($D196=CashLabel,IF(ISNUMBER($N196),$N196,1),MIN(IF(ISNUMBER($N196),$N196,IFERROR(VLOOKUP($D196,LVTable,2,FALSE),0)),LVCap)))</f>
        <v/>
      </c>
      <c r="P196" s="25">
        <f>IF($B196="","",$M196*$O196)</f>
        <v/>
      </c>
      <c r="Q196" s="16">
        <f>IF($B196="","",IFERROR(VLOOKUP($G196,FXRates,5,FALSE),$G196))</f>
        <v/>
      </c>
      <c r="R196" s="14">
        <f>IF($B196="","",IF($D196=CashLabel,"",SUMIFS($P$5:$P$204,$B$5:$B$204,$B196,$D$5:$D$204,"&lt;&gt;"&amp;CashLabel)/ConcDenom))</f>
        <v/>
      </c>
      <c r="S196" s="14">
        <f>IF($B196="","",IF($D196=CashLabel,"",SUMIFS($P$5:$P$204,$E$5:$E$204,$E196,$D$5:$D$204,"&lt;&gt;"&amp;CashLabel)/ConcDenom))</f>
        <v/>
      </c>
      <c r="T196" s="14">
        <f>IF($B196="","",IF($D196=CashLabel,"",SUMIFS($P$5:$P$204,$F$5:$F$204,$F196,$D$5:$D$204,"&lt;&gt;"&amp;CashLabel)/ConcDenom))</f>
        <v/>
      </c>
      <c r="U196" s="14">
        <f>IF($B196="","",IF($D196=CashLabel,"",SUMIFS($P$5:$P$204,$D$5:$D$204,$D196,$D$5:$D$204,"&lt;&gt;"&amp;CashLabel)/ConcDenom))</f>
        <v/>
      </c>
      <c r="V196" s="15">
        <f>IF($B196="","",IF($D196=CashLabel,1,IF($R196&gt;ThrSingle,ThrSingle/$R196,1)))</f>
        <v/>
      </c>
      <c r="W196" s="15">
        <f>IF($B196="","",IF($D196=CashLabel,1,IF($S196&gt;ThrIssuer,ThrIssuer/$S196,1)))</f>
        <v/>
      </c>
      <c r="X196" s="15">
        <f>IF($B196="","",IF($D196=CashLabel,1,IF($T196&gt;IFERROR(VLOOKUP($F196,CountryThr,2,FALSE),DefThrCountry),IFERROR(VLOOKUP($F196,CountryThr,2,FALSE),DefThrCountry)/$T196,1)))</f>
        <v/>
      </c>
      <c r="Y196" s="15">
        <f>IF($B196="","",IF($D196=CashLabel,1,IF($U196&gt;IFERROR(VLOOKUP($D196,LVTable,3,FALSE),DefThrAsset),IFERROR(VLOOKUP($D196,LVTable,3,FALSE),DefThrAsset)/$U196,1)))</f>
        <v/>
      </c>
      <c r="Z196" s="34">
        <f>IF($B196="","",IF($D196=CashLabel,1,MIN($V196:$Y196)))</f>
        <v/>
      </c>
      <c r="AA196" s="25">
        <f>IF($B196="","",$P196*$Z196)</f>
        <v/>
      </c>
      <c r="AB196" s="33">
        <f>IF($B196="","",$P196-$AA196)</f>
        <v/>
      </c>
      <c r="AC196" s="21" t="n"/>
      <c r="AD196" s="33">
        <f>IF($B196="","",$M196*(1+IF(ISNUMBER($AC196),$AC196,0)))</f>
        <v/>
      </c>
      <c r="AE196" s="33">
        <f>IF($B196="","",$AD196*$O196)</f>
        <v/>
      </c>
      <c r="AF196" s="14">
        <f>IF($B196="","",IF($D196=CashLabel,"",SUMIFS($AE$5:$AE$204,$B$5:$B$204,$B196,$D$5:$D$204,"&lt;&gt;"&amp;CashLabel)/ConcDenomStr))</f>
        <v/>
      </c>
      <c r="AG196" s="14">
        <f>IF($B196="","",IF($D196=CashLabel,"",SUMIFS($AE$5:$AE$204,$E$5:$E$204,$E196,$D$5:$D$204,"&lt;&gt;"&amp;CashLabel)/ConcDenomStr))</f>
        <v/>
      </c>
      <c r="AH196" s="14">
        <f>IF($B196="","",IF($D196=CashLabel,"",SUMIFS($AE$5:$AE$204,$F$5:$F$204,$F196,$D$5:$D$204,"&lt;&gt;"&amp;CashLabel)/ConcDenomStr))</f>
        <v/>
      </c>
      <c r="AI196" s="14">
        <f>IF($B196="","",IF($D196=CashLabel,"",SUMIFS($AE$5:$AE$204,$D$5:$D$204,$D196,$D$5:$D$204,"&lt;&gt;"&amp;CashLabel)/ConcDenomStr))</f>
        <v/>
      </c>
      <c r="AJ196" s="15">
        <f>IF($B196="","",IF($D196=CashLabel,1,MIN(IF($AF196&gt;ThrSingle,ThrSingle/$AF196,1),IF($AG196&gt;ThrIssuer,ThrIssuer/$AG196,1),IF($AH196&gt;IFERROR(VLOOKUP($F196,CountryThr,2,FALSE),DefThrCountry),IFERROR(VLOOKUP($F196,CountryThr,2,FALSE),DefThrCountry)/$AH196,1),IF($AI196&gt;IFERROR(VLOOKUP($D196,LVTable,3,FALSE),DefThrAsset),IFERROR(VLOOKUP($D196,LVTable,3,FALSE),DefThrAsset)/$AI196,1))))</f>
        <v/>
      </c>
      <c r="AK196" s="33">
        <f>IF($B196="","",$AE196*$AJ196)</f>
        <v/>
      </c>
    </row>
    <row r="197">
      <c r="A197" s="16">
        <f>IF($B197="","",ROW()-4)</f>
        <v/>
      </c>
      <c r="B197" s="20" t="n"/>
      <c r="C197" s="20" t="n"/>
      <c r="D197" s="20" t="n"/>
      <c r="E197" s="20" t="n"/>
      <c r="F197" s="20" t="n"/>
      <c r="G197" s="20" t="n"/>
      <c r="H197" s="30" t="n"/>
      <c r="I197" s="30" t="n"/>
      <c r="J197" s="30" t="n"/>
      <c r="K197" s="31">
        <f>IF($B197="","",IF(ISNUMBER($J197),$J197,$I197))</f>
        <v/>
      </c>
      <c r="L197" s="32">
        <f>IF($B197="","",IFERROR(VLOOKUP($G197,FXRates,4,FALSE),1))</f>
        <v/>
      </c>
      <c r="M197" s="33">
        <f>IF($B197="","",$H197*$K197*$L197)</f>
        <v/>
      </c>
      <c r="N197" s="21" t="n"/>
      <c r="O197" s="14">
        <f>IF($B197="","",IF($D197=CashLabel,IF(ISNUMBER($N197),$N197,1),MIN(IF(ISNUMBER($N197),$N197,IFERROR(VLOOKUP($D197,LVTable,2,FALSE),0)),LVCap)))</f>
        <v/>
      </c>
      <c r="P197" s="25">
        <f>IF($B197="","",$M197*$O197)</f>
        <v/>
      </c>
      <c r="Q197" s="16">
        <f>IF($B197="","",IFERROR(VLOOKUP($G197,FXRates,5,FALSE),$G197))</f>
        <v/>
      </c>
      <c r="R197" s="14">
        <f>IF($B197="","",IF($D197=CashLabel,"",SUMIFS($P$5:$P$204,$B$5:$B$204,$B197,$D$5:$D$204,"&lt;&gt;"&amp;CashLabel)/ConcDenom))</f>
        <v/>
      </c>
      <c r="S197" s="14">
        <f>IF($B197="","",IF($D197=CashLabel,"",SUMIFS($P$5:$P$204,$E$5:$E$204,$E197,$D$5:$D$204,"&lt;&gt;"&amp;CashLabel)/ConcDenom))</f>
        <v/>
      </c>
      <c r="T197" s="14">
        <f>IF($B197="","",IF($D197=CashLabel,"",SUMIFS($P$5:$P$204,$F$5:$F$204,$F197,$D$5:$D$204,"&lt;&gt;"&amp;CashLabel)/ConcDenom))</f>
        <v/>
      </c>
      <c r="U197" s="14">
        <f>IF($B197="","",IF($D197=CashLabel,"",SUMIFS($P$5:$P$204,$D$5:$D$204,$D197,$D$5:$D$204,"&lt;&gt;"&amp;CashLabel)/ConcDenom))</f>
        <v/>
      </c>
      <c r="V197" s="15">
        <f>IF($B197="","",IF($D197=CashLabel,1,IF($R197&gt;ThrSingle,ThrSingle/$R197,1)))</f>
        <v/>
      </c>
      <c r="W197" s="15">
        <f>IF($B197="","",IF($D197=CashLabel,1,IF($S197&gt;ThrIssuer,ThrIssuer/$S197,1)))</f>
        <v/>
      </c>
      <c r="X197" s="15">
        <f>IF($B197="","",IF($D197=CashLabel,1,IF($T197&gt;IFERROR(VLOOKUP($F197,CountryThr,2,FALSE),DefThrCountry),IFERROR(VLOOKUP($F197,CountryThr,2,FALSE),DefThrCountry)/$T197,1)))</f>
        <v/>
      </c>
      <c r="Y197" s="15">
        <f>IF($B197="","",IF($D197=CashLabel,1,IF($U197&gt;IFERROR(VLOOKUP($D197,LVTable,3,FALSE),DefThrAsset),IFERROR(VLOOKUP($D197,LVTable,3,FALSE),DefThrAsset)/$U197,1)))</f>
        <v/>
      </c>
      <c r="Z197" s="34">
        <f>IF($B197="","",IF($D197=CashLabel,1,MIN($V197:$Y197)))</f>
        <v/>
      </c>
      <c r="AA197" s="25">
        <f>IF($B197="","",$P197*$Z197)</f>
        <v/>
      </c>
      <c r="AB197" s="33">
        <f>IF($B197="","",$P197-$AA197)</f>
        <v/>
      </c>
      <c r="AC197" s="21" t="n"/>
      <c r="AD197" s="33">
        <f>IF($B197="","",$M197*(1+IF(ISNUMBER($AC197),$AC197,0)))</f>
        <v/>
      </c>
      <c r="AE197" s="33">
        <f>IF($B197="","",$AD197*$O197)</f>
        <v/>
      </c>
      <c r="AF197" s="14">
        <f>IF($B197="","",IF($D197=CashLabel,"",SUMIFS($AE$5:$AE$204,$B$5:$B$204,$B197,$D$5:$D$204,"&lt;&gt;"&amp;CashLabel)/ConcDenomStr))</f>
        <v/>
      </c>
      <c r="AG197" s="14">
        <f>IF($B197="","",IF($D197=CashLabel,"",SUMIFS($AE$5:$AE$204,$E$5:$E$204,$E197,$D$5:$D$204,"&lt;&gt;"&amp;CashLabel)/ConcDenomStr))</f>
        <v/>
      </c>
      <c r="AH197" s="14">
        <f>IF($B197="","",IF($D197=CashLabel,"",SUMIFS($AE$5:$AE$204,$F$5:$F$204,$F197,$D$5:$D$204,"&lt;&gt;"&amp;CashLabel)/ConcDenomStr))</f>
        <v/>
      </c>
      <c r="AI197" s="14">
        <f>IF($B197="","",IF($D197=CashLabel,"",SUMIFS($AE$5:$AE$204,$D$5:$D$204,$D197,$D$5:$D$204,"&lt;&gt;"&amp;CashLabel)/ConcDenomStr))</f>
        <v/>
      </c>
      <c r="AJ197" s="15">
        <f>IF($B197="","",IF($D197=CashLabel,1,MIN(IF($AF197&gt;ThrSingle,ThrSingle/$AF197,1),IF($AG197&gt;ThrIssuer,ThrIssuer/$AG197,1),IF($AH197&gt;IFERROR(VLOOKUP($F197,CountryThr,2,FALSE),DefThrCountry),IFERROR(VLOOKUP($F197,CountryThr,2,FALSE),DefThrCountry)/$AH197,1),IF($AI197&gt;IFERROR(VLOOKUP($D197,LVTable,3,FALSE),DefThrAsset),IFERROR(VLOOKUP($D197,LVTable,3,FALSE),DefThrAsset)/$AI197,1))))</f>
        <v/>
      </c>
      <c r="AK197" s="33">
        <f>IF($B197="","",$AE197*$AJ197)</f>
        <v/>
      </c>
    </row>
    <row r="198">
      <c r="A198" s="16">
        <f>IF($B198="","",ROW()-4)</f>
        <v/>
      </c>
      <c r="B198" s="20" t="n"/>
      <c r="C198" s="20" t="n"/>
      <c r="D198" s="20" t="n"/>
      <c r="E198" s="20" t="n"/>
      <c r="F198" s="20" t="n"/>
      <c r="G198" s="20" t="n"/>
      <c r="H198" s="30" t="n"/>
      <c r="I198" s="30" t="n"/>
      <c r="J198" s="30" t="n"/>
      <c r="K198" s="31">
        <f>IF($B198="","",IF(ISNUMBER($J198),$J198,$I198))</f>
        <v/>
      </c>
      <c r="L198" s="32">
        <f>IF($B198="","",IFERROR(VLOOKUP($G198,FXRates,4,FALSE),1))</f>
        <v/>
      </c>
      <c r="M198" s="33">
        <f>IF($B198="","",$H198*$K198*$L198)</f>
        <v/>
      </c>
      <c r="N198" s="21" t="n"/>
      <c r="O198" s="14">
        <f>IF($B198="","",IF($D198=CashLabel,IF(ISNUMBER($N198),$N198,1),MIN(IF(ISNUMBER($N198),$N198,IFERROR(VLOOKUP($D198,LVTable,2,FALSE),0)),LVCap)))</f>
        <v/>
      </c>
      <c r="P198" s="25">
        <f>IF($B198="","",$M198*$O198)</f>
        <v/>
      </c>
      <c r="Q198" s="16">
        <f>IF($B198="","",IFERROR(VLOOKUP($G198,FXRates,5,FALSE),$G198))</f>
        <v/>
      </c>
      <c r="R198" s="14">
        <f>IF($B198="","",IF($D198=CashLabel,"",SUMIFS($P$5:$P$204,$B$5:$B$204,$B198,$D$5:$D$204,"&lt;&gt;"&amp;CashLabel)/ConcDenom))</f>
        <v/>
      </c>
      <c r="S198" s="14">
        <f>IF($B198="","",IF($D198=CashLabel,"",SUMIFS($P$5:$P$204,$E$5:$E$204,$E198,$D$5:$D$204,"&lt;&gt;"&amp;CashLabel)/ConcDenom))</f>
        <v/>
      </c>
      <c r="T198" s="14">
        <f>IF($B198="","",IF($D198=CashLabel,"",SUMIFS($P$5:$P$204,$F$5:$F$204,$F198,$D$5:$D$204,"&lt;&gt;"&amp;CashLabel)/ConcDenom))</f>
        <v/>
      </c>
      <c r="U198" s="14">
        <f>IF($B198="","",IF($D198=CashLabel,"",SUMIFS($P$5:$P$204,$D$5:$D$204,$D198,$D$5:$D$204,"&lt;&gt;"&amp;CashLabel)/ConcDenom))</f>
        <v/>
      </c>
      <c r="V198" s="15">
        <f>IF($B198="","",IF($D198=CashLabel,1,IF($R198&gt;ThrSingle,ThrSingle/$R198,1)))</f>
        <v/>
      </c>
      <c r="W198" s="15">
        <f>IF($B198="","",IF($D198=CashLabel,1,IF($S198&gt;ThrIssuer,ThrIssuer/$S198,1)))</f>
        <v/>
      </c>
      <c r="X198" s="15">
        <f>IF($B198="","",IF($D198=CashLabel,1,IF($T198&gt;IFERROR(VLOOKUP($F198,CountryThr,2,FALSE),DefThrCountry),IFERROR(VLOOKUP($F198,CountryThr,2,FALSE),DefThrCountry)/$T198,1)))</f>
        <v/>
      </c>
      <c r="Y198" s="15">
        <f>IF($B198="","",IF($D198=CashLabel,1,IF($U198&gt;IFERROR(VLOOKUP($D198,LVTable,3,FALSE),DefThrAsset),IFERROR(VLOOKUP($D198,LVTable,3,FALSE),DefThrAsset)/$U198,1)))</f>
        <v/>
      </c>
      <c r="Z198" s="34">
        <f>IF($B198="","",IF($D198=CashLabel,1,MIN($V198:$Y198)))</f>
        <v/>
      </c>
      <c r="AA198" s="25">
        <f>IF($B198="","",$P198*$Z198)</f>
        <v/>
      </c>
      <c r="AB198" s="33">
        <f>IF($B198="","",$P198-$AA198)</f>
        <v/>
      </c>
      <c r="AC198" s="21" t="n"/>
      <c r="AD198" s="33">
        <f>IF($B198="","",$M198*(1+IF(ISNUMBER($AC198),$AC198,0)))</f>
        <v/>
      </c>
      <c r="AE198" s="33">
        <f>IF($B198="","",$AD198*$O198)</f>
        <v/>
      </c>
      <c r="AF198" s="14">
        <f>IF($B198="","",IF($D198=CashLabel,"",SUMIFS($AE$5:$AE$204,$B$5:$B$204,$B198,$D$5:$D$204,"&lt;&gt;"&amp;CashLabel)/ConcDenomStr))</f>
        <v/>
      </c>
      <c r="AG198" s="14">
        <f>IF($B198="","",IF($D198=CashLabel,"",SUMIFS($AE$5:$AE$204,$E$5:$E$204,$E198,$D$5:$D$204,"&lt;&gt;"&amp;CashLabel)/ConcDenomStr))</f>
        <v/>
      </c>
      <c r="AH198" s="14">
        <f>IF($B198="","",IF($D198=CashLabel,"",SUMIFS($AE$5:$AE$204,$F$5:$F$204,$F198,$D$5:$D$204,"&lt;&gt;"&amp;CashLabel)/ConcDenomStr))</f>
        <v/>
      </c>
      <c r="AI198" s="14">
        <f>IF($B198="","",IF($D198=CashLabel,"",SUMIFS($AE$5:$AE$204,$D$5:$D$204,$D198,$D$5:$D$204,"&lt;&gt;"&amp;CashLabel)/ConcDenomStr))</f>
        <v/>
      </c>
      <c r="AJ198" s="15">
        <f>IF($B198="","",IF($D198=CashLabel,1,MIN(IF($AF198&gt;ThrSingle,ThrSingle/$AF198,1),IF($AG198&gt;ThrIssuer,ThrIssuer/$AG198,1),IF($AH198&gt;IFERROR(VLOOKUP($F198,CountryThr,2,FALSE),DefThrCountry),IFERROR(VLOOKUP($F198,CountryThr,2,FALSE),DefThrCountry)/$AH198,1),IF($AI198&gt;IFERROR(VLOOKUP($D198,LVTable,3,FALSE),DefThrAsset),IFERROR(VLOOKUP($D198,LVTable,3,FALSE),DefThrAsset)/$AI198,1))))</f>
        <v/>
      </c>
      <c r="AK198" s="33">
        <f>IF($B198="","",$AE198*$AJ198)</f>
        <v/>
      </c>
    </row>
    <row r="199">
      <c r="A199" s="16">
        <f>IF($B199="","",ROW()-4)</f>
        <v/>
      </c>
      <c r="B199" s="20" t="n"/>
      <c r="C199" s="20" t="n"/>
      <c r="D199" s="20" t="n"/>
      <c r="E199" s="20" t="n"/>
      <c r="F199" s="20" t="n"/>
      <c r="G199" s="20" t="n"/>
      <c r="H199" s="30" t="n"/>
      <c r="I199" s="30" t="n"/>
      <c r="J199" s="30" t="n"/>
      <c r="K199" s="31">
        <f>IF($B199="","",IF(ISNUMBER($J199),$J199,$I199))</f>
        <v/>
      </c>
      <c r="L199" s="32">
        <f>IF($B199="","",IFERROR(VLOOKUP($G199,FXRates,4,FALSE),1))</f>
        <v/>
      </c>
      <c r="M199" s="33">
        <f>IF($B199="","",$H199*$K199*$L199)</f>
        <v/>
      </c>
      <c r="N199" s="21" t="n"/>
      <c r="O199" s="14">
        <f>IF($B199="","",IF($D199=CashLabel,IF(ISNUMBER($N199),$N199,1),MIN(IF(ISNUMBER($N199),$N199,IFERROR(VLOOKUP($D199,LVTable,2,FALSE),0)),LVCap)))</f>
        <v/>
      </c>
      <c r="P199" s="25">
        <f>IF($B199="","",$M199*$O199)</f>
        <v/>
      </c>
      <c r="Q199" s="16">
        <f>IF($B199="","",IFERROR(VLOOKUP($G199,FXRates,5,FALSE),$G199))</f>
        <v/>
      </c>
      <c r="R199" s="14">
        <f>IF($B199="","",IF($D199=CashLabel,"",SUMIFS($P$5:$P$204,$B$5:$B$204,$B199,$D$5:$D$204,"&lt;&gt;"&amp;CashLabel)/ConcDenom))</f>
        <v/>
      </c>
      <c r="S199" s="14">
        <f>IF($B199="","",IF($D199=CashLabel,"",SUMIFS($P$5:$P$204,$E$5:$E$204,$E199,$D$5:$D$204,"&lt;&gt;"&amp;CashLabel)/ConcDenom))</f>
        <v/>
      </c>
      <c r="T199" s="14">
        <f>IF($B199="","",IF($D199=CashLabel,"",SUMIFS($P$5:$P$204,$F$5:$F$204,$F199,$D$5:$D$204,"&lt;&gt;"&amp;CashLabel)/ConcDenom))</f>
        <v/>
      </c>
      <c r="U199" s="14">
        <f>IF($B199="","",IF($D199=CashLabel,"",SUMIFS($P$5:$P$204,$D$5:$D$204,$D199,$D$5:$D$204,"&lt;&gt;"&amp;CashLabel)/ConcDenom))</f>
        <v/>
      </c>
      <c r="V199" s="15">
        <f>IF($B199="","",IF($D199=CashLabel,1,IF($R199&gt;ThrSingle,ThrSingle/$R199,1)))</f>
        <v/>
      </c>
      <c r="W199" s="15">
        <f>IF($B199="","",IF($D199=CashLabel,1,IF($S199&gt;ThrIssuer,ThrIssuer/$S199,1)))</f>
        <v/>
      </c>
      <c r="X199" s="15">
        <f>IF($B199="","",IF($D199=CashLabel,1,IF($T199&gt;IFERROR(VLOOKUP($F199,CountryThr,2,FALSE),DefThrCountry),IFERROR(VLOOKUP($F199,CountryThr,2,FALSE),DefThrCountry)/$T199,1)))</f>
        <v/>
      </c>
      <c r="Y199" s="15">
        <f>IF($B199="","",IF($D199=CashLabel,1,IF($U199&gt;IFERROR(VLOOKUP($D199,LVTable,3,FALSE),DefThrAsset),IFERROR(VLOOKUP($D199,LVTable,3,FALSE),DefThrAsset)/$U199,1)))</f>
        <v/>
      </c>
      <c r="Z199" s="34">
        <f>IF($B199="","",IF($D199=CashLabel,1,MIN($V199:$Y199)))</f>
        <v/>
      </c>
      <c r="AA199" s="25">
        <f>IF($B199="","",$P199*$Z199)</f>
        <v/>
      </c>
      <c r="AB199" s="33">
        <f>IF($B199="","",$P199-$AA199)</f>
        <v/>
      </c>
      <c r="AC199" s="21" t="n"/>
      <c r="AD199" s="33">
        <f>IF($B199="","",$M199*(1+IF(ISNUMBER($AC199),$AC199,0)))</f>
        <v/>
      </c>
      <c r="AE199" s="33">
        <f>IF($B199="","",$AD199*$O199)</f>
        <v/>
      </c>
      <c r="AF199" s="14">
        <f>IF($B199="","",IF($D199=CashLabel,"",SUMIFS($AE$5:$AE$204,$B$5:$B$204,$B199,$D$5:$D$204,"&lt;&gt;"&amp;CashLabel)/ConcDenomStr))</f>
        <v/>
      </c>
      <c r="AG199" s="14">
        <f>IF($B199="","",IF($D199=CashLabel,"",SUMIFS($AE$5:$AE$204,$E$5:$E$204,$E199,$D$5:$D$204,"&lt;&gt;"&amp;CashLabel)/ConcDenomStr))</f>
        <v/>
      </c>
      <c r="AH199" s="14">
        <f>IF($B199="","",IF($D199=CashLabel,"",SUMIFS($AE$5:$AE$204,$F$5:$F$204,$F199,$D$5:$D$204,"&lt;&gt;"&amp;CashLabel)/ConcDenomStr))</f>
        <v/>
      </c>
      <c r="AI199" s="14">
        <f>IF($B199="","",IF($D199=CashLabel,"",SUMIFS($AE$5:$AE$204,$D$5:$D$204,$D199,$D$5:$D$204,"&lt;&gt;"&amp;CashLabel)/ConcDenomStr))</f>
        <v/>
      </c>
      <c r="AJ199" s="15">
        <f>IF($B199="","",IF($D199=CashLabel,1,MIN(IF($AF199&gt;ThrSingle,ThrSingle/$AF199,1),IF($AG199&gt;ThrIssuer,ThrIssuer/$AG199,1),IF($AH199&gt;IFERROR(VLOOKUP($F199,CountryThr,2,FALSE),DefThrCountry),IFERROR(VLOOKUP($F199,CountryThr,2,FALSE),DefThrCountry)/$AH199,1),IF($AI199&gt;IFERROR(VLOOKUP($D199,LVTable,3,FALSE),DefThrAsset),IFERROR(VLOOKUP($D199,LVTable,3,FALSE),DefThrAsset)/$AI199,1))))</f>
        <v/>
      </c>
      <c r="AK199" s="33">
        <f>IF($B199="","",$AE199*$AJ199)</f>
        <v/>
      </c>
    </row>
    <row r="200">
      <c r="A200" s="16">
        <f>IF($B200="","",ROW()-4)</f>
        <v/>
      </c>
      <c r="B200" s="20" t="n"/>
      <c r="C200" s="20" t="n"/>
      <c r="D200" s="20" t="n"/>
      <c r="E200" s="20" t="n"/>
      <c r="F200" s="20" t="n"/>
      <c r="G200" s="20" t="n"/>
      <c r="H200" s="30" t="n"/>
      <c r="I200" s="30" t="n"/>
      <c r="J200" s="30" t="n"/>
      <c r="K200" s="31">
        <f>IF($B200="","",IF(ISNUMBER($J200),$J200,$I200))</f>
        <v/>
      </c>
      <c r="L200" s="32">
        <f>IF($B200="","",IFERROR(VLOOKUP($G200,FXRates,4,FALSE),1))</f>
        <v/>
      </c>
      <c r="M200" s="33">
        <f>IF($B200="","",$H200*$K200*$L200)</f>
        <v/>
      </c>
      <c r="N200" s="21" t="n"/>
      <c r="O200" s="14">
        <f>IF($B200="","",IF($D200=CashLabel,IF(ISNUMBER($N200),$N200,1),MIN(IF(ISNUMBER($N200),$N200,IFERROR(VLOOKUP($D200,LVTable,2,FALSE),0)),LVCap)))</f>
        <v/>
      </c>
      <c r="P200" s="25">
        <f>IF($B200="","",$M200*$O200)</f>
        <v/>
      </c>
      <c r="Q200" s="16">
        <f>IF($B200="","",IFERROR(VLOOKUP($G200,FXRates,5,FALSE),$G200))</f>
        <v/>
      </c>
      <c r="R200" s="14">
        <f>IF($B200="","",IF($D200=CashLabel,"",SUMIFS($P$5:$P$204,$B$5:$B$204,$B200,$D$5:$D$204,"&lt;&gt;"&amp;CashLabel)/ConcDenom))</f>
        <v/>
      </c>
      <c r="S200" s="14">
        <f>IF($B200="","",IF($D200=CashLabel,"",SUMIFS($P$5:$P$204,$E$5:$E$204,$E200,$D$5:$D$204,"&lt;&gt;"&amp;CashLabel)/ConcDenom))</f>
        <v/>
      </c>
      <c r="T200" s="14">
        <f>IF($B200="","",IF($D200=CashLabel,"",SUMIFS($P$5:$P$204,$F$5:$F$204,$F200,$D$5:$D$204,"&lt;&gt;"&amp;CashLabel)/ConcDenom))</f>
        <v/>
      </c>
      <c r="U200" s="14">
        <f>IF($B200="","",IF($D200=CashLabel,"",SUMIFS($P$5:$P$204,$D$5:$D$204,$D200,$D$5:$D$204,"&lt;&gt;"&amp;CashLabel)/ConcDenom))</f>
        <v/>
      </c>
      <c r="V200" s="15">
        <f>IF($B200="","",IF($D200=CashLabel,1,IF($R200&gt;ThrSingle,ThrSingle/$R200,1)))</f>
        <v/>
      </c>
      <c r="W200" s="15">
        <f>IF($B200="","",IF($D200=CashLabel,1,IF($S200&gt;ThrIssuer,ThrIssuer/$S200,1)))</f>
        <v/>
      </c>
      <c r="X200" s="15">
        <f>IF($B200="","",IF($D200=CashLabel,1,IF($T200&gt;IFERROR(VLOOKUP($F200,CountryThr,2,FALSE),DefThrCountry),IFERROR(VLOOKUP($F200,CountryThr,2,FALSE),DefThrCountry)/$T200,1)))</f>
        <v/>
      </c>
      <c r="Y200" s="15">
        <f>IF($B200="","",IF($D200=CashLabel,1,IF($U200&gt;IFERROR(VLOOKUP($D200,LVTable,3,FALSE),DefThrAsset),IFERROR(VLOOKUP($D200,LVTable,3,FALSE),DefThrAsset)/$U200,1)))</f>
        <v/>
      </c>
      <c r="Z200" s="34">
        <f>IF($B200="","",IF($D200=CashLabel,1,MIN($V200:$Y200)))</f>
        <v/>
      </c>
      <c r="AA200" s="25">
        <f>IF($B200="","",$P200*$Z200)</f>
        <v/>
      </c>
      <c r="AB200" s="33">
        <f>IF($B200="","",$P200-$AA200)</f>
        <v/>
      </c>
      <c r="AC200" s="21" t="n"/>
      <c r="AD200" s="33">
        <f>IF($B200="","",$M200*(1+IF(ISNUMBER($AC200),$AC200,0)))</f>
        <v/>
      </c>
      <c r="AE200" s="33">
        <f>IF($B200="","",$AD200*$O200)</f>
        <v/>
      </c>
      <c r="AF200" s="14">
        <f>IF($B200="","",IF($D200=CashLabel,"",SUMIFS($AE$5:$AE$204,$B$5:$B$204,$B200,$D$5:$D$204,"&lt;&gt;"&amp;CashLabel)/ConcDenomStr))</f>
        <v/>
      </c>
      <c r="AG200" s="14">
        <f>IF($B200="","",IF($D200=CashLabel,"",SUMIFS($AE$5:$AE$204,$E$5:$E$204,$E200,$D$5:$D$204,"&lt;&gt;"&amp;CashLabel)/ConcDenomStr))</f>
        <v/>
      </c>
      <c r="AH200" s="14">
        <f>IF($B200="","",IF($D200=CashLabel,"",SUMIFS($AE$5:$AE$204,$F$5:$F$204,$F200,$D$5:$D$204,"&lt;&gt;"&amp;CashLabel)/ConcDenomStr))</f>
        <v/>
      </c>
      <c r="AI200" s="14">
        <f>IF($B200="","",IF($D200=CashLabel,"",SUMIFS($AE$5:$AE$204,$D$5:$D$204,$D200,$D$5:$D$204,"&lt;&gt;"&amp;CashLabel)/ConcDenomStr))</f>
        <v/>
      </c>
      <c r="AJ200" s="15">
        <f>IF($B200="","",IF($D200=CashLabel,1,MIN(IF($AF200&gt;ThrSingle,ThrSingle/$AF200,1),IF($AG200&gt;ThrIssuer,ThrIssuer/$AG200,1),IF($AH200&gt;IFERROR(VLOOKUP($F200,CountryThr,2,FALSE),DefThrCountry),IFERROR(VLOOKUP($F200,CountryThr,2,FALSE),DefThrCountry)/$AH200,1),IF($AI200&gt;IFERROR(VLOOKUP($D200,LVTable,3,FALSE),DefThrAsset),IFERROR(VLOOKUP($D200,LVTable,3,FALSE),DefThrAsset)/$AI200,1))))</f>
        <v/>
      </c>
      <c r="AK200" s="33">
        <f>IF($B200="","",$AE200*$AJ200)</f>
        <v/>
      </c>
    </row>
    <row r="201">
      <c r="A201" s="16">
        <f>IF($B201="","",ROW()-4)</f>
        <v/>
      </c>
      <c r="B201" s="20" t="n"/>
      <c r="C201" s="20" t="n"/>
      <c r="D201" s="20" t="n"/>
      <c r="E201" s="20" t="n"/>
      <c r="F201" s="20" t="n"/>
      <c r="G201" s="20" t="n"/>
      <c r="H201" s="30" t="n"/>
      <c r="I201" s="30" t="n"/>
      <c r="J201" s="30" t="n"/>
      <c r="K201" s="31">
        <f>IF($B201="","",IF(ISNUMBER($J201),$J201,$I201))</f>
        <v/>
      </c>
      <c r="L201" s="32">
        <f>IF($B201="","",IFERROR(VLOOKUP($G201,FXRates,4,FALSE),1))</f>
        <v/>
      </c>
      <c r="M201" s="33">
        <f>IF($B201="","",$H201*$K201*$L201)</f>
        <v/>
      </c>
      <c r="N201" s="21" t="n"/>
      <c r="O201" s="14">
        <f>IF($B201="","",IF($D201=CashLabel,IF(ISNUMBER($N201),$N201,1),MIN(IF(ISNUMBER($N201),$N201,IFERROR(VLOOKUP($D201,LVTable,2,FALSE),0)),LVCap)))</f>
        <v/>
      </c>
      <c r="P201" s="25">
        <f>IF($B201="","",$M201*$O201)</f>
        <v/>
      </c>
      <c r="Q201" s="16">
        <f>IF($B201="","",IFERROR(VLOOKUP($G201,FXRates,5,FALSE),$G201))</f>
        <v/>
      </c>
      <c r="R201" s="14">
        <f>IF($B201="","",IF($D201=CashLabel,"",SUMIFS($P$5:$P$204,$B$5:$B$204,$B201,$D$5:$D$204,"&lt;&gt;"&amp;CashLabel)/ConcDenom))</f>
        <v/>
      </c>
      <c r="S201" s="14">
        <f>IF($B201="","",IF($D201=CashLabel,"",SUMIFS($P$5:$P$204,$E$5:$E$204,$E201,$D$5:$D$204,"&lt;&gt;"&amp;CashLabel)/ConcDenom))</f>
        <v/>
      </c>
      <c r="T201" s="14">
        <f>IF($B201="","",IF($D201=CashLabel,"",SUMIFS($P$5:$P$204,$F$5:$F$204,$F201,$D$5:$D$204,"&lt;&gt;"&amp;CashLabel)/ConcDenom))</f>
        <v/>
      </c>
      <c r="U201" s="14">
        <f>IF($B201="","",IF($D201=CashLabel,"",SUMIFS($P$5:$P$204,$D$5:$D$204,$D201,$D$5:$D$204,"&lt;&gt;"&amp;CashLabel)/ConcDenom))</f>
        <v/>
      </c>
      <c r="V201" s="15">
        <f>IF($B201="","",IF($D201=CashLabel,1,IF($R201&gt;ThrSingle,ThrSingle/$R201,1)))</f>
        <v/>
      </c>
      <c r="W201" s="15">
        <f>IF($B201="","",IF($D201=CashLabel,1,IF($S201&gt;ThrIssuer,ThrIssuer/$S201,1)))</f>
        <v/>
      </c>
      <c r="X201" s="15">
        <f>IF($B201="","",IF($D201=CashLabel,1,IF($T201&gt;IFERROR(VLOOKUP($F201,CountryThr,2,FALSE),DefThrCountry),IFERROR(VLOOKUP($F201,CountryThr,2,FALSE),DefThrCountry)/$T201,1)))</f>
        <v/>
      </c>
      <c r="Y201" s="15">
        <f>IF($B201="","",IF($D201=CashLabel,1,IF($U201&gt;IFERROR(VLOOKUP($D201,LVTable,3,FALSE),DefThrAsset),IFERROR(VLOOKUP($D201,LVTable,3,FALSE),DefThrAsset)/$U201,1)))</f>
        <v/>
      </c>
      <c r="Z201" s="34">
        <f>IF($B201="","",IF($D201=CashLabel,1,MIN($V201:$Y201)))</f>
        <v/>
      </c>
      <c r="AA201" s="25">
        <f>IF($B201="","",$P201*$Z201)</f>
        <v/>
      </c>
      <c r="AB201" s="33">
        <f>IF($B201="","",$P201-$AA201)</f>
        <v/>
      </c>
      <c r="AC201" s="21" t="n"/>
      <c r="AD201" s="33">
        <f>IF($B201="","",$M201*(1+IF(ISNUMBER($AC201),$AC201,0)))</f>
        <v/>
      </c>
      <c r="AE201" s="33">
        <f>IF($B201="","",$AD201*$O201)</f>
        <v/>
      </c>
      <c r="AF201" s="14">
        <f>IF($B201="","",IF($D201=CashLabel,"",SUMIFS($AE$5:$AE$204,$B$5:$B$204,$B201,$D$5:$D$204,"&lt;&gt;"&amp;CashLabel)/ConcDenomStr))</f>
        <v/>
      </c>
      <c r="AG201" s="14">
        <f>IF($B201="","",IF($D201=CashLabel,"",SUMIFS($AE$5:$AE$204,$E$5:$E$204,$E201,$D$5:$D$204,"&lt;&gt;"&amp;CashLabel)/ConcDenomStr))</f>
        <v/>
      </c>
      <c r="AH201" s="14">
        <f>IF($B201="","",IF($D201=CashLabel,"",SUMIFS($AE$5:$AE$204,$F$5:$F$204,$F201,$D$5:$D$204,"&lt;&gt;"&amp;CashLabel)/ConcDenomStr))</f>
        <v/>
      </c>
      <c r="AI201" s="14">
        <f>IF($B201="","",IF($D201=CashLabel,"",SUMIFS($AE$5:$AE$204,$D$5:$D$204,$D201,$D$5:$D$204,"&lt;&gt;"&amp;CashLabel)/ConcDenomStr))</f>
        <v/>
      </c>
      <c r="AJ201" s="15">
        <f>IF($B201="","",IF($D201=CashLabel,1,MIN(IF($AF201&gt;ThrSingle,ThrSingle/$AF201,1),IF($AG201&gt;ThrIssuer,ThrIssuer/$AG201,1),IF($AH201&gt;IFERROR(VLOOKUP($F201,CountryThr,2,FALSE),DefThrCountry),IFERROR(VLOOKUP($F201,CountryThr,2,FALSE),DefThrCountry)/$AH201,1),IF($AI201&gt;IFERROR(VLOOKUP($D201,LVTable,3,FALSE),DefThrAsset),IFERROR(VLOOKUP($D201,LVTable,3,FALSE),DefThrAsset)/$AI201,1))))</f>
        <v/>
      </c>
      <c r="AK201" s="33">
        <f>IF($B201="","",$AE201*$AJ201)</f>
        <v/>
      </c>
    </row>
    <row r="202">
      <c r="A202" s="16">
        <f>IF($B202="","",ROW()-4)</f>
        <v/>
      </c>
      <c r="B202" s="20" t="n"/>
      <c r="C202" s="20" t="n"/>
      <c r="D202" s="20" t="n"/>
      <c r="E202" s="20" t="n"/>
      <c r="F202" s="20" t="n"/>
      <c r="G202" s="20" t="n"/>
      <c r="H202" s="30" t="n"/>
      <c r="I202" s="30" t="n"/>
      <c r="J202" s="30" t="n"/>
      <c r="K202" s="31">
        <f>IF($B202="","",IF(ISNUMBER($J202),$J202,$I202))</f>
        <v/>
      </c>
      <c r="L202" s="32">
        <f>IF($B202="","",IFERROR(VLOOKUP($G202,FXRates,4,FALSE),1))</f>
        <v/>
      </c>
      <c r="M202" s="33">
        <f>IF($B202="","",$H202*$K202*$L202)</f>
        <v/>
      </c>
      <c r="N202" s="21" t="n"/>
      <c r="O202" s="14">
        <f>IF($B202="","",IF($D202=CashLabel,IF(ISNUMBER($N202),$N202,1),MIN(IF(ISNUMBER($N202),$N202,IFERROR(VLOOKUP($D202,LVTable,2,FALSE),0)),LVCap)))</f>
        <v/>
      </c>
      <c r="P202" s="25">
        <f>IF($B202="","",$M202*$O202)</f>
        <v/>
      </c>
      <c r="Q202" s="16">
        <f>IF($B202="","",IFERROR(VLOOKUP($G202,FXRates,5,FALSE),$G202))</f>
        <v/>
      </c>
      <c r="R202" s="14">
        <f>IF($B202="","",IF($D202=CashLabel,"",SUMIFS($P$5:$P$204,$B$5:$B$204,$B202,$D$5:$D$204,"&lt;&gt;"&amp;CashLabel)/ConcDenom))</f>
        <v/>
      </c>
      <c r="S202" s="14">
        <f>IF($B202="","",IF($D202=CashLabel,"",SUMIFS($P$5:$P$204,$E$5:$E$204,$E202,$D$5:$D$204,"&lt;&gt;"&amp;CashLabel)/ConcDenom))</f>
        <v/>
      </c>
      <c r="T202" s="14">
        <f>IF($B202="","",IF($D202=CashLabel,"",SUMIFS($P$5:$P$204,$F$5:$F$204,$F202,$D$5:$D$204,"&lt;&gt;"&amp;CashLabel)/ConcDenom))</f>
        <v/>
      </c>
      <c r="U202" s="14">
        <f>IF($B202="","",IF($D202=CashLabel,"",SUMIFS($P$5:$P$204,$D$5:$D$204,$D202,$D$5:$D$204,"&lt;&gt;"&amp;CashLabel)/ConcDenom))</f>
        <v/>
      </c>
      <c r="V202" s="15">
        <f>IF($B202="","",IF($D202=CashLabel,1,IF($R202&gt;ThrSingle,ThrSingle/$R202,1)))</f>
        <v/>
      </c>
      <c r="W202" s="15">
        <f>IF($B202="","",IF($D202=CashLabel,1,IF($S202&gt;ThrIssuer,ThrIssuer/$S202,1)))</f>
        <v/>
      </c>
      <c r="X202" s="15">
        <f>IF($B202="","",IF($D202=CashLabel,1,IF($T202&gt;IFERROR(VLOOKUP($F202,CountryThr,2,FALSE),DefThrCountry),IFERROR(VLOOKUP($F202,CountryThr,2,FALSE),DefThrCountry)/$T202,1)))</f>
        <v/>
      </c>
      <c r="Y202" s="15">
        <f>IF($B202="","",IF($D202=CashLabel,1,IF($U202&gt;IFERROR(VLOOKUP($D202,LVTable,3,FALSE),DefThrAsset),IFERROR(VLOOKUP($D202,LVTable,3,FALSE),DefThrAsset)/$U202,1)))</f>
        <v/>
      </c>
      <c r="Z202" s="34">
        <f>IF($B202="","",IF($D202=CashLabel,1,MIN($V202:$Y202)))</f>
        <v/>
      </c>
      <c r="AA202" s="25">
        <f>IF($B202="","",$P202*$Z202)</f>
        <v/>
      </c>
      <c r="AB202" s="33">
        <f>IF($B202="","",$P202-$AA202)</f>
        <v/>
      </c>
      <c r="AC202" s="21" t="n"/>
      <c r="AD202" s="33">
        <f>IF($B202="","",$M202*(1+IF(ISNUMBER($AC202),$AC202,0)))</f>
        <v/>
      </c>
      <c r="AE202" s="33">
        <f>IF($B202="","",$AD202*$O202)</f>
        <v/>
      </c>
      <c r="AF202" s="14">
        <f>IF($B202="","",IF($D202=CashLabel,"",SUMIFS($AE$5:$AE$204,$B$5:$B$204,$B202,$D$5:$D$204,"&lt;&gt;"&amp;CashLabel)/ConcDenomStr))</f>
        <v/>
      </c>
      <c r="AG202" s="14">
        <f>IF($B202="","",IF($D202=CashLabel,"",SUMIFS($AE$5:$AE$204,$E$5:$E$204,$E202,$D$5:$D$204,"&lt;&gt;"&amp;CashLabel)/ConcDenomStr))</f>
        <v/>
      </c>
      <c r="AH202" s="14">
        <f>IF($B202="","",IF($D202=CashLabel,"",SUMIFS($AE$5:$AE$204,$F$5:$F$204,$F202,$D$5:$D$204,"&lt;&gt;"&amp;CashLabel)/ConcDenomStr))</f>
        <v/>
      </c>
      <c r="AI202" s="14">
        <f>IF($B202="","",IF($D202=CashLabel,"",SUMIFS($AE$5:$AE$204,$D$5:$D$204,$D202,$D$5:$D$204,"&lt;&gt;"&amp;CashLabel)/ConcDenomStr))</f>
        <v/>
      </c>
      <c r="AJ202" s="15">
        <f>IF($B202="","",IF($D202=CashLabel,1,MIN(IF($AF202&gt;ThrSingle,ThrSingle/$AF202,1),IF($AG202&gt;ThrIssuer,ThrIssuer/$AG202,1),IF($AH202&gt;IFERROR(VLOOKUP($F202,CountryThr,2,FALSE),DefThrCountry),IFERROR(VLOOKUP($F202,CountryThr,2,FALSE),DefThrCountry)/$AH202,1),IF($AI202&gt;IFERROR(VLOOKUP($D202,LVTable,3,FALSE),DefThrAsset),IFERROR(VLOOKUP($D202,LVTable,3,FALSE),DefThrAsset)/$AI202,1))))</f>
        <v/>
      </c>
      <c r="AK202" s="33">
        <f>IF($B202="","",$AE202*$AJ202)</f>
        <v/>
      </c>
    </row>
    <row r="203">
      <c r="A203" s="16">
        <f>IF($B203="","",ROW()-4)</f>
        <v/>
      </c>
      <c r="B203" s="20" t="n"/>
      <c r="C203" s="20" t="n"/>
      <c r="D203" s="20" t="n"/>
      <c r="E203" s="20" t="n"/>
      <c r="F203" s="20" t="n"/>
      <c r="G203" s="20" t="n"/>
      <c r="H203" s="30" t="n"/>
      <c r="I203" s="30" t="n"/>
      <c r="J203" s="30" t="n"/>
      <c r="K203" s="31">
        <f>IF($B203="","",IF(ISNUMBER($J203),$J203,$I203))</f>
        <v/>
      </c>
      <c r="L203" s="32">
        <f>IF($B203="","",IFERROR(VLOOKUP($G203,FXRates,4,FALSE),1))</f>
        <v/>
      </c>
      <c r="M203" s="33">
        <f>IF($B203="","",$H203*$K203*$L203)</f>
        <v/>
      </c>
      <c r="N203" s="21" t="n"/>
      <c r="O203" s="14">
        <f>IF($B203="","",IF($D203=CashLabel,IF(ISNUMBER($N203),$N203,1),MIN(IF(ISNUMBER($N203),$N203,IFERROR(VLOOKUP($D203,LVTable,2,FALSE),0)),LVCap)))</f>
        <v/>
      </c>
      <c r="P203" s="25">
        <f>IF($B203="","",$M203*$O203)</f>
        <v/>
      </c>
      <c r="Q203" s="16">
        <f>IF($B203="","",IFERROR(VLOOKUP($G203,FXRates,5,FALSE),$G203))</f>
        <v/>
      </c>
      <c r="R203" s="14">
        <f>IF($B203="","",IF($D203=CashLabel,"",SUMIFS($P$5:$P$204,$B$5:$B$204,$B203,$D$5:$D$204,"&lt;&gt;"&amp;CashLabel)/ConcDenom))</f>
        <v/>
      </c>
      <c r="S203" s="14">
        <f>IF($B203="","",IF($D203=CashLabel,"",SUMIFS($P$5:$P$204,$E$5:$E$204,$E203,$D$5:$D$204,"&lt;&gt;"&amp;CashLabel)/ConcDenom))</f>
        <v/>
      </c>
      <c r="T203" s="14">
        <f>IF($B203="","",IF($D203=CashLabel,"",SUMIFS($P$5:$P$204,$F$5:$F$204,$F203,$D$5:$D$204,"&lt;&gt;"&amp;CashLabel)/ConcDenom))</f>
        <v/>
      </c>
      <c r="U203" s="14">
        <f>IF($B203="","",IF($D203=CashLabel,"",SUMIFS($P$5:$P$204,$D$5:$D$204,$D203,$D$5:$D$204,"&lt;&gt;"&amp;CashLabel)/ConcDenom))</f>
        <v/>
      </c>
      <c r="V203" s="15">
        <f>IF($B203="","",IF($D203=CashLabel,1,IF($R203&gt;ThrSingle,ThrSingle/$R203,1)))</f>
        <v/>
      </c>
      <c r="W203" s="15">
        <f>IF($B203="","",IF($D203=CashLabel,1,IF($S203&gt;ThrIssuer,ThrIssuer/$S203,1)))</f>
        <v/>
      </c>
      <c r="X203" s="15">
        <f>IF($B203="","",IF($D203=CashLabel,1,IF($T203&gt;IFERROR(VLOOKUP($F203,CountryThr,2,FALSE),DefThrCountry),IFERROR(VLOOKUP($F203,CountryThr,2,FALSE),DefThrCountry)/$T203,1)))</f>
        <v/>
      </c>
      <c r="Y203" s="15">
        <f>IF($B203="","",IF($D203=CashLabel,1,IF($U203&gt;IFERROR(VLOOKUP($D203,LVTable,3,FALSE),DefThrAsset),IFERROR(VLOOKUP($D203,LVTable,3,FALSE),DefThrAsset)/$U203,1)))</f>
        <v/>
      </c>
      <c r="Z203" s="34">
        <f>IF($B203="","",IF($D203=CashLabel,1,MIN($V203:$Y203)))</f>
        <v/>
      </c>
      <c r="AA203" s="25">
        <f>IF($B203="","",$P203*$Z203)</f>
        <v/>
      </c>
      <c r="AB203" s="33">
        <f>IF($B203="","",$P203-$AA203)</f>
        <v/>
      </c>
      <c r="AC203" s="21" t="n"/>
      <c r="AD203" s="33">
        <f>IF($B203="","",$M203*(1+IF(ISNUMBER($AC203),$AC203,0)))</f>
        <v/>
      </c>
      <c r="AE203" s="33">
        <f>IF($B203="","",$AD203*$O203)</f>
        <v/>
      </c>
      <c r="AF203" s="14">
        <f>IF($B203="","",IF($D203=CashLabel,"",SUMIFS($AE$5:$AE$204,$B$5:$B$204,$B203,$D$5:$D$204,"&lt;&gt;"&amp;CashLabel)/ConcDenomStr))</f>
        <v/>
      </c>
      <c r="AG203" s="14">
        <f>IF($B203="","",IF($D203=CashLabel,"",SUMIFS($AE$5:$AE$204,$E$5:$E$204,$E203,$D$5:$D$204,"&lt;&gt;"&amp;CashLabel)/ConcDenomStr))</f>
        <v/>
      </c>
      <c r="AH203" s="14">
        <f>IF($B203="","",IF($D203=CashLabel,"",SUMIFS($AE$5:$AE$204,$F$5:$F$204,$F203,$D$5:$D$204,"&lt;&gt;"&amp;CashLabel)/ConcDenomStr))</f>
        <v/>
      </c>
      <c r="AI203" s="14">
        <f>IF($B203="","",IF($D203=CashLabel,"",SUMIFS($AE$5:$AE$204,$D$5:$D$204,$D203,$D$5:$D$204,"&lt;&gt;"&amp;CashLabel)/ConcDenomStr))</f>
        <v/>
      </c>
      <c r="AJ203" s="15">
        <f>IF($B203="","",IF($D203=CashLabel,1,MIN(IF($AF203&gt;ThrSingle,ThrSingle/$AF203,1),IF($AG203&gt;ThrIssuer,ThrIssuer/$AG203,1),IF($AH203&gt;IFERROR(VLOOKUP($F203,CountryThr,2,FALSE),DefThrCountry),IFERROR(VLOOKUP($F203,CountryThr,2,FALSE),DefThrCountry)/$AH203,1),IF($AI203&gt;IFERROR(VLOOKUP($D203,LVTable,3,FALSE),DefThrAsset),IFERROR(VLOOKUP($D203,LVTable,3,FALSE),DefThrAsset)/$AI203,1))))</f>
        <v/>
      </c>
      <c r="AK203" s="33">
        <f>IF($B203="","",$AE203*$AJ203)</f>
        <v/>
      </c>
    </row>
    <row r="204">
      <c r="A204" s="16">
        <f>IF($B204="","",ROW()-4)</f>
        <v/>
      </c>
      <c r="B204" s="20" t="n"/>
      <c r="C204" s="20" t="n"/>
      <c r="D204" s="20" t="n"/>
      <c r="E204" s="20" t="n"/>
      <c r="F204" s="20" t="n"/>
      <c r="G204" s="20" t="n"/>
      <c r="H204" s="30" t="n"/>
      <c r="I204" s="30" t="n"/>
      <c r="J204" s="30" t="n"/>
      <c r="K204" s="31">
        <f>IF($B204="","",IF(ISNUMBER($J204),$J204,$I204))</f>
        <v/>
      </c>
      <c r="L204" s="32">
        <f>IF($B204="","",IFERROR(VLOOKUP($G204,FXRates,4,FALSE),1))</f>
        <v/>
      </c>
      <c r="M204" s="33">
        <f>IF($B204="","",$H204*$K204*$L204)</f>
        <v/>
      </c>
      <c r="N204" s="21" t="n"/>
      <c r="O204" s="14">
        <f>IF($B204="","",IF($D204=CashLabel,IF(ISNUMBER($N204),$N204,1),MIN(IF(ISNUMBER($N204),$N204,IFERROR(VLOOKUP($D204,LVTable,2,FALSE),0)),LVCap)))</f>
        <v/>
      </c>
      <c r="P204" s="25">
        <f>IF($B204="","",$M204*$O204)</f>
        <v/>
      </c>
      <c r="Q204" s="16">
        <f>IF($B204="","",IFERROR(VLOOKUP($G204,FXRates,5,FALSE),$G204))</f>
        <v/>
      </c>
      <c r="R204" s="14">
        <f>IF($B204="","",IF($D204=CashLabel,"",SUMIFS($P$5:$P$204,$B$5:$B$204,$B204,$D$5:$D$204,"&lt;&gt;"&amp;CashLabel)/ConcDenom))</f>
        <v/>
      </c>
      <c r="S204" s="14">
        <f>IF($B204="","",IF($D204=CashLabel,"",SUMIFS($P$5:$P$204,$E$5:$E$204,$E204,$D$5:$D$204,"&lt;&gt;"&amp;CashLabel)/ConcDenom))</f>
        <v/>
      </c>
      <c r="T204" s="14">
        <f>IF($B204="","",IF($D204=CashLabel,"",SUMIFS($P$5:$P$204,$F$5:$F$204,$F204,$D$5:$D$204,"&lt;&gt;"&amp;CashLabel)/ConcDenom))</f>
        <v/>
      </c>
      <c r="U204" s="14">
        <f>IF($B204="","",IF($D204=CashLabel,"",SUMIFS($P$5:$P$204,$D$5:$D$204,$D204,$D$5:$D$204,"&lt;&gt;"&amp;CashLabel)/ConcDenom))</f>
        <v/>
      </c>
      <c r="V204" s="15">
        <f>IF($B204="","",IF($D204=CashLabel,1,IF($R204&gt;ThrSingle,ThrSingle/$R204,1)))</f>
        <v/>
      </c>
      <c r="W204" s="15">
        <f>IF($B204="","",IF($D204=CashLabel,1,IF($S204&gt;ThrIssuer,ThrIssuer/$S204,1)))</f>
        <v/>
      </c>
      <c r="X204" s="15">
        <f>IF($B204="","",IF($D204=CashLabel,1,IF($T204&gt;IFERROR(VLOOKUP($F204,CountryThr,2,FALSE),DefThrCountry),IFERROR(VLOOKUP($F204,CountryThr,2,FALSE),DefThrCountry)/$T204,1)))</f>
        <v/>
      </c>
      <c r="Y204" s="15">
        <f>IF($B204="","",IF($D204=CashLabel,1,IF($U204&gt;IFERROR(VLOOKUP($D204,LVTable,3,FALSE),DefThrAsset),IFERROR(VLOOKUP($D204,LVTable,3,FALSE),DefThrAsset)/$U204,1)))</f>
        <v/>
      </c>
      <c r="Z204" s="34">
        <f>IF($B204="","",IF($D204=CashLabel,1,MIN($V204:$Y204)))</f>
        <v/>
      </c>
      <c r="AA204" s="25">
        <f>IF($B204="","",$P204*$Z204)</f>
        <v/>
      </c>
      <c r="AB204" s="33">
        <f>IF($B204="","",$P204-$AA204)</f>
        <v/>
      </c>
      <c r="AC204" s="21" t="n"/>
      <c r="AD204" s="33">
        <f>IF($B204="","",$M204*(1+IF(ISNUMBER($AC204),$AC204,0)))</f>
        <v/>
      </c>
      <c r="AE204" s="33">
        <f>IF($B204="","",$AD204*$O204)</f>
        <v/>
      </c>
      <c r="AF204" s="14">
        <f>IF($B204="","",IF($D204=CashLabel,"",SUMIFS($AE$5:$AE$204,$B$5:$B$204,$B204,$D$5:$D$204,"&lt;&gt;"&amp;CashLabel)/ConcDenomStr))</f>
        <v/>
      </c>
      <c r="AG204" s="14">
        <f>IF($B204="","",IF($D204=CashLabel,"",SUMIFS($AE$5:$AE$204,$E$5:$E$204,$E204,$D$5:$D$204,"&lt;&gt;"&amp;CashLabel)/ConcDenomStr))</f>
        <v/>
      </c>
      <c r="AH204" s="14">
        <f>IF($B204="","",IF($D204=CashLabel,"",SUMIFS($AE$5:$AE$204,$F$5:$F$204,$F204,$D$5:$D$204,"&lt;&gt;"&amp;CashLabel)/ConcDenomStr))</f>
        <v/>
      </c>
      <c r="AI204" s="14">
        <f>IF($B204="","",IF($D204=CashLabel,"",SUMIFS($AE$5:$AE$204,$D$5:$D$204,$D204,$D$5:$D$204,"&lt;&gt;"&amp;CashLabel)/ConcDenomStr))</f>
        <v/>
      </c>
      <c r="AJ204" s="15">
        <f>IF($B204="","",IF($D204=CashLabel,1,MIN(IF($AF204&gt;ThrSingle,ThrSingle/$AF204,1),IF($AG204&gt;ThrIssuer,ThrIssuer/$AG204,1),IF($AH204&gt;IFERROR(VLOOKUP($F204,CountryThr,2,FALSE),DefThrCountry),IFERROR(VLOOKUP($F204,CountryThr,2,FALSE),DefThrCountry)/$AH204,1),IF($AI204&gt;IFERROR(VLOOKUP($D204,LVTable,3,FALSE),DefThrAsset),IFERROR(VLOOKUP($D204,LVTable,3,FALSE),DefThrAsset)/$AI204,1))))</f>
        <v/>
      </c>
      <c r="AK204" s="33">
        <f>IF($B204="","",$AE204*$AJ204)</f>
        <v/>
      </c>
    </row>
    <row r="205">
      <c r="A205" s="35" t="inlineStr">
        <is>
          <t>TOTAL</t>
        </is>
      </c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28">
        <f>SUM(M5:M204)</f>
        <v/>
      </c>
      <c r="N205" s="36" t="n"/>
      <c r="O205" s="36" t="n"/>
      <c r="P205" s="28">
        <f>SUM(P5:P204)</f>
        <v/>
      </c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28">
        <f>SUM(AA5:AA204)</f>
        <v/>
      </c>
      <c r="AB205" s="28">
        <f>SUM(AB5:AB204)</f>
        <v/>
      </c>
      <c r="AC205" s="36" t="n"/>
      <c r="AD205" s="28">
        <f>SUM(AD5:AD204)</f>
        <v/>
      </c>
      <c r="AE205" s="28">
        <f>SUM(AE5:AE204)</f>
        <v/>
      </c>
      <c r="AF205" s="36" t="n"/>
      <c r="AG205" s="36" t="n"/>
      <c r="AH205" s="36" t="n"/>
      <c r="AI205" s="36" t="n"/>
      <c r="AJ205" s="36" t="n"/>
      <c r="AK205" s="28">
        <f>SUM(AK5:AK204)</f>
        <v/>
      </c>
    </row>
  </sheetData>
  <conditionalFormatting sqref="V5:Z204">
    <cfRule type="cellIs" priority="1" operator="lessThan" dxfId="3">
      <formula>1</formula>
    </cfRule>
  </conditionalFormatting>
  <conditionalFormatting sqref="AJ5:AJ204">
    <cfRule type="cellIs" priority="2" operator="lessThan" dxfId="3">
      <formula>1</formula>
    </cfRule>
  </conditionalFormatting>
  <conditionalFormatting sqref="AB5:AB204">
    <cfRule type="cellIs" priority="3" operator="greaterThan" dxfId="4">
      <formula>0.005</formula>
    </cfRule>
  </conditionalFormatting>
  <dataValidations count="2">
    <dataValidation sqref="D5:D204" showDropDown="0" showInputMessage="0" showErrorMessage="0" allowBlank="1" type="list">
      <formula1>=AssetTypeList</formula1>
    </dataValidation>
    <dataValidation sqref="G5:G204" showDropDown="0" showInputMessage="0" showErrorMessage="0" allowBlank="1" type="list">
      <formula1>=CcyList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HCFX — CURRENCY MISMATCH HAIRCUT (buckets &amp; rate come from Config; USD &amp; HKD = one bucket)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18" t="inlineStr">
        <is>
          <t>HCFX = (CV − non-allocated CV − CV allocated to same-currency exposure) x haircut rate. Conservative treatment per the training example: when any liability is unmet in its own bucket, the full residual CV of every bucket is haircut.</t>
        </is>
      </c>
    </row>
    <row r="4" ht="30" customHeight="1">
      <c r="A4" s="12" t="inlineStr">
        <is>
          <t>Bucket</t>
        </is>
      </c>
      <c r="B4" s="12" t="inlineStr">
        <is>
          <t>Liabilities (ref ccy)</t>
        </is>
      </c>
      <c r="C4" s="12" t="inlineStr">
        <is>
          <t>CV Used (Conc Adj)</t>
        </is>
      </c>
      <c r="D4" s="12" t="inlineStr">
        <is>
          <t>Residual CV</t>
        </is>
      </c>
      <c r="E4" s="12" t="inlineStr">
        <is>
          <t>Unmet Liability</t>
        </is>
      </c>
      <c r="F4" s="12" t="inlineStr">
        <is>
          <t>Currency Haircut</t>
        </is>
      </c>
      <c r="G4" s="12" t="inlineStr">
        <is>
          <t>CV Used (stressed)</t>
        </is>
      </c>
      <c r="H4" s="12" t="inlineStr">
        <is>
          <t>Residual CV (str)</t>
        </is>
      </c>
      <c r="I4" s="12" t="inlineStr">
        <is>
          <t>Unmet Liab (str)</t>
        </is>
      </c>
      <c r="J4" s="12" t="inlineStr">
        <is>
          <t>Haircut (str)</t>
        </is>
      </c>
    </row>
    <row r="5">
      <c r="A5" s="16">
        <f>IF(Config!$A$61="","",Config!$A$61)</f>
        <v/>
      </c>
      <c r="B5" s="33">
        <f>IF($A5="","",SUMIFS(FacAmt,FacBucket,$A5))</f>
        <v/>
      </c>
      <c r="C5" s="33">
        <f>IF($A5="","",SUMIFS(Positions!$AA$5:$AA$204,Positions!$Q$5:$Q$204,$A5))</f>
        <v/>
      </c>
      <c r="D5" s="33">
        <f>IF($A5="","",MAX(0,$C5-$B5))</f>
        <v/>
      </c>
      <c r="E5" s="33">
        <f>IF($A5="","",MAX(0,$B5-$C5))</f>
        <v/>
      </c>
      <c r="F5" s="33">
        <f>IF($A5="","",$D5*HCFXRate*IF($E$15&gt;0,1,0))</f>
        <v/>
      </c>
      <c r="G5" s="33">
        <f>IF($A5="","",SUMIFS(Positions!$AK$5:$AK$204,Positions!$Q$5:$Q$204,$A5))</f>
        <v/>
      </c>
      <c r="H5" s="33">
        <f>IF($A5="","",MAX(0,$G5-$B5))</f>
        <v/>
      </c>
      <c r="I5" s="33">
        <f>IF($A5="","",MAX(0,$B5-$G5))</f>
        <v/>
      </c>
      <c r="J5" s="33">
        <f>IF($A5="","",$H5*HCFXRate*IF($I$15&gt;0,1,0))</f>
        <v/>
      </c>
    </row>
    <row r="6">
      <c r="A6" s="16">
        <f>IF(Config!$A$62="","",Config!$A$62)</f>
        <v/>
      </c>
      <c r="B6" s="33">
        <f>IF($A6="","",SUMIFS(FacAmt,FacBucket,$A6))</f>
        <v/>
      </c>
      <c r="C6" s="33">
        <f>IF($A6="","",SUMIFS(Positions!$AA$5:$AA$204,Positions!$Q$5:$Q$204,$A6))</f>
        <v/>
      </c>
      <c r="D6" s="33">
        <f>IF($A6="","",MAX(0,$C6-$B6))</f>
        <v/>
      </c>
      <c r="E6" s="33">
        <f>IF($A6="","",MAX(0,$B6-$C6))</f>
        <v/>
      </c>
      <c r="F6" s="33">
        <f>IF($A6="","",$D6*HCFXRate*IF($E$15&gt;0,1,0))</f>
        <v/>
      </c>
      <c r="G6" s="33">
        <f>IF($A6="","",SUMIFS(Positions!$AK$5:$AK$204,Positions!$Q$5:$Q$204,$A6))</f>
        <v/>
      </c>
      <c r="H6" s="33">
        <f>IF($A6="","",MAX(0,$G6-$B6))</f>
        <v/>
      </c>
      <c r="I6" s="33">
        <f>IF($A6="","",MAX(0,$B6-$G6))</f>
        <v/>
      </c>
      <c r="J6" s="33">
        <f>IF($A6="","",$H6*HCFXRate*IF($I$15&gt;0,1,0))</f>
        <v/>
      </c>
    </row>
    <row r="7">
      <c r="A7" s="16">
        <f>IF(Config!$A$63="","",Config!$A$63)</f>
        <v/>
      </c>
      <c r="B7" s="33">
        <f>IF($A7="","",SUMIFS(FacAmt,FacBucket,$A7))</f>
        <v/>
      </c>
      <c r="C7" s="33">
        <f>IF($A7="","",SUMIFS(Positions!$AA$5:$AA$204,Positions!$Q$5:$Q$204,$A7))</f>
        <v/>
      </c>
      <c r="D7" s="33">
        <f>IF($A7="","",MAX(0,$C7-$B7))</f>
        <v/>
      </c>
      <c r="E7" s="33">
        <f>IF($A7="","",MAX(0,$B7-$C7))</f>
        <v/>
      </c>
      <c r="F7" s="33">
        <f>IF($A7="","",$D7*HCFXRate*IF($E$15&gt;0,1,0))</f>
        <v/>
      </c>
      <c r="G7" s="33">
        <f>IF($A7="","",SUMIFS(Positions!$AK$5:$AK$204,Positions!$Q$5:$Q$204,$A7))</f>
        <v/>
      </c>
      <c r="H7" s="33">
        <f>IF($A7="","",MAX(0,$G7-$B7))</f>
        <v/>
      </c>
      <c r="I7" s="33">
        <f>IF($A7="","",MAX(0,$B7-$G7))</f>
        <v/>
      </c>
      <c r="J7" s="33">
        <f>IF($A7="","",$H7*HCFXRate*IF($I$15&gt;0,1,0))</f>
        <v/>
      </c>
    </row>
    <row r="8">
      <c r="A8" s="16">
        <f>IF(Config!$A$64="","",Config!$A$64)</f>
        <v/>
      </c>
      <c r="B8" s="33">
        <f>IF($A8="","",SUMIFS(FacAmt,FacBucket,$A8))</f>
        <v/>
      </c>
      <c r="C8" s="33">
        <f>IF($A8="","",SUMIFS(Positions!$AA$5:$AA$204,Positions!$Q$5:$Q$204,$A8))</f>
        <v/>
      </c>
      <c r="D8" s="33">
        <f>IF($A8="","",MAX(0,$C8-$B8))</f>
        <v/>
      </c>
      <c r="E8" s="33">
        <f>IF($A8="","",MAX(0,$B8-$C8))</f>
        <v/>
      </c>
      <c r="F8" s="33">
        <f>IF($A8="","",$D8*HCFXRate*IF($E$15&gt;0,1,0))</f>
        <v/>
      </c>
      <c r="G8" s="33">
        <f>IF($A8="","",SUMIFS(Positions!$AK$5:$AK$204,Positions!$Q$5:$Q$204,$A8))</f>
        <v/>
      </c>
      <c r="H8" s="33">
        <f>IF($A8="","",MAX(0,$G8-$B8))</f>
        <v/>
      </c>
      <c r="I8" s="33">
        <f>IF($A8="","",MAX(0,$B8-$G8))</f>
        <v/>
      </c>
      <c r="J8" s="33">
        <f>IF($A8="","",$H8*HCFXRate*IF($I$15&gt;0,1,0))</f>
        <v/>
      </c>
    </row>
    <row r="9">
      <c r="A9" s="16">
        <f>IF(Config!$A$65="","",Config!$A$65)</f>
        <v/>
      </c>
      <c r="B9" s="33">
        <f>IF($A9="","",SUMIFS(FacAmt,FacBucket,$A9))</f>
        <v/>
      </c>
      <c r="C9" s="33">
        <f>IF($A9="","",SUMIFS(Positions!$AA$5:$AA$204,Positions!$Q$5:$Q$204,$A9))</f>
        <v/>
      </c>
      <c r="D9" s="33">
        <f>IF($A9="","",MAX(0,$C9-$B9))</f>
        <v/>
      </c>
      <c r="E9" s="33">
        <f>IF($A9="","",MAX(0,$B9-$C9))</f>
        <v/>
      </c>
      <c r="F9" s="33">
        <f>IF($A9="","",$D9*HCFXRate*IF($E$15&gt;0,1,0))</f>
        <v/>
      </c>
      <c r="G9" s="33">
        <f>IF($A9="","",SUMIFS(Positions!$AK$5:$AK$204,Positions!$Q$5:$Q$204,$A9))</f>
        <v/>
      </c>
      <c r="H9" s="33">
        <f>IF($A9="","",MAX(0,$G9-$B9))</f>
        <v/>
      </c>
      <c r="I9" s="33">
        <f>IF($A9="","",MAX(0,$B9-$G9))</f>
        <v/>
      </c>
      <c r="J9" s="33">
        <f>IF($A9="","",$H9*HCFXRate*IF($I$15&gt;0,1,0))</f>
        <v/>
      </c>
    </row>
    <row r="10">
      <c r="A10" s="16">
        <f>IF(Config!$A$66="","",Config!$A$66)</f>
        <v/>
      </c>
      <c r="B10" s="33">
        <f>IF($A10="","",SUMIFS(FacAmt,FacBucket,$A10))</f>
        <v/>
      </c>
      <c r="C10" s="33">
        <f>IF($A10="","",SUMIFS(Positions!$AA$5:$AA$204,Positions!$Q$5:$Q$204,$A10))</f>
        <v/>
      </c>
      <c r="D10" s="33">
        <f>IF($A10="","",MAX(0,$C10-$B10))</f>
        <v/>
      </c>
      <c r="E10" s="33">
        <f>IF($A10="","",MAX(0,$B10-$C10))</f>
        <v/>
      </c>
      <c r="F10" s="33">
        <f>IF($A10="","",$D10*HCFXRate*IF($E$15&gt;0,1,0))</f>
        <v/>
      </c>
      <c r="G10" s="33">
        <f>IF($A10="","",SUMIFS(Positions!$AK$5:$AK$204,Positions!$Q$5:$Q$204,$A10))</f>
        <v/>
      </c>
      <c r="H10" s="33">
        <f>IF($A10="","",MAX(0,$G10-$B10))</f>
        <v/>
      </c>
      <c r="I10" s="33">
        <f>IF($A10="","",MAX(0,$B10-$G10))</f>
        <v/>
      </c>
      <c r="J10" s="33">
        <f>IF($A10="","",$H10*HCFXRate*IF($I$15&gt;0,1,0))</f>
        <v/>
      </c>
    </row>
    <row r="11">
      <c r="A11" s="16">
        <f>IF(Config!$A$67="","",Config!$A$67)</f>
        <v/>
      </c>
      <c r="B11" s="33">
        <f>IF($A11="","",SUMIFS(FacAmt,FacBucket,$A11))</f>
        <v/>
      </c>
      <c r="C11" s="33">
        <f>IF($A11="","",SUMIFS(Positions!$AA$5:$AA$204,Positions!$Q$5:$Q$204,$A11))</f>
        <v/>
      </c>
      <c r="D11" s="33">
        <f>IF($A11="","",MAX(0,$C11-$B11))</f>
        <v/>
      </c>
      <c r="E11" s="33">
        <f>IF($A11="","",MAX(0,$B11-$C11))</f>
        <v/>
      </c>
      <c r="F11" s="33">
        <f>IF($A11="","",$D11*HCFXRate*IF($E$15&gt;0,1,0))</f>
        <v/>
      </c>
      <c r="G11" s="33">
        <f>IF($A11="","",SUMIFS(Positions!$AK$5:$AK$204,Positions!$Q$5:$Q$204,$A11))</f>
        <v/>
      </c>
      <c r="H11" s="33">
        <f>IF($A11="","",MAX(0,$G11-$B11))</f>
        <v/>
      </c>
      <c r="I11" s="33">
        <f>IF($A11="","",MAX(0,$B11-$G11))</f>
        <v/>
      </c>
      <c r="J11" s="33">
        <f>IF($A11="","",$H11*HCFXRate*IF($I$15&gt;0,1,0))</f>
        <v/>
      </c>
    </row>
    <row r="12">
      <c r="A12" s="16">
        <f>IF(Config!$A$68="","",Config!$A$68)</f>
        <v/>
      </c>
      <c r="B12" s="33">
        <f>IF($A12="","",SUMIFS(FacAmt,FacBucket,$A12))</f>
        <v/>
      </c>
      <c r="C12" s="33">
        <f>IF($A12="","",SUMIFS(Positions!$AA$5:$AA$204,Positions!$Q$5:$Q$204,$A12))</f>
        <v/>
      </c>
      <c r="D12" s="33">
        <f>IF($A12="","",MAX(0,$C12-$B12))</f>
        <v/>
      </c>
      <c r="E12" s="33">
        <f>IF($A12="","",MAX(0,$B12-$C12))</f>
        <v/>
      </c>
      <c r="F12" s="33">
        <f>IF($A12="","",$D12*HCFXRate*IF($E$15&gt;0,1,0))</f>
        <v/>
      </c>
      <c r="G12" s="33">
        <f>IF($A12="","",SUMIFS(Positions!$AK$5:$AK$204,Positions!$Q$5:$Q$204,$A12))</f>
        <v/>
      </c>
      <c r="H12" s="33">
        <f>IF($A12="","",MAX(0,$G12-$B12))</f>
        <v/>
      </c>
      <c r="I12" s="33">
        <f>IF($A12="","",MAX(0,$B12-$G12))</f>
        <v/>
      </c>
      <c r="J12" s="33">
        <f>IF($A12="","",$H12*HCFXRate*IF($I$15&gt;0,1,0))</f>
        <v/>
      </c>
    </row>
    <row r="13">
      <c r="A13" s="16">
        <f>IF(Config!$A$69="","",Config!$A$69)</f>
        <v/>
      </c>
      <c r="B13" s="33">
        <f>IF($A13="","",SUMIFS(FacAmt,FacBucket,$A13))</f>
        <v/>
      </c>
      <c r="C13" s="33">
        <f>IF($A13="","",SUMIFS(Positions!$AA$5:$AA$204,Positions!$Q$5:$Q$204,$A13))</f>
        <v/>
      </c>
      <c r="D13" s="33">
        <f>IF($A13="","",MAX(0,$C13-$B13))</f>
        <v/>
      </c>
      <c r="E13" s="33">
        <f>IF($A13="","",MAX(0,$B13-$C13))</f>
        <v/>
      </c>
      <c r="F13" s="33">
        <f>IF($A13="","",$D13*HCFXRate*IF($E$15&gt;0,1,0))</f>
        <v/>
      </c>
      <c r="G13" s="33">
        <f>IF($A13="","",SUMIFS(Positions!$AK$5:$AK$204,Positions!$Q$5:$Q$204,$A13))</f>
        <v/>
      </c>
      <c r="H13" s="33">
        <f>IF($A13="","",MAX(0,$G13-$B13))</f>
        <v/>
      </c>
      <c r="I13" s="33">
        <f>IF($A13="","",MAX(0,$B13-$G13))</f>
        <v/>
      </c>
      <c r="J13" s="33">
        <f>IF($A13="","",$H13*HCFXRate*IF($I$15&gt;0,1,0))</f>
        <v/>
      </c>
    </row>
    <row r="14">
      <c r="A14" s="16">
        <f>IF(Config!$A$70="","",Config!$A$70)</f>
        <v/>
      </c>
      <c r="B14" s="33">
        <f>IF($A14="","",SUMIFS(FacAmt,FacBucket,$A14))</f>
        <v/>
      </c>
      <c r="C14" s="33">
        <f>IF($A14="","",SUMIFS(Positions!$AA$5:$AA$204,Positions!$Q$5:$Q$204,$A14))</f>
        <v/>
      </c>
      <c r="D14" s="33">
        <f>IF($A14="","",MAX(0,$C14-$B14))</f>
        <v/>
      </c>
      <c r="E14" s="33">
        <f>IF($A14="","",MAX(0,$B14-$C14))</f>
        <v/>
      </c>
      <c r="F14" s="33">
        <f>IF($A14="","",$D14*HCFXRate*IF($E$15&gt;0,1,0))</f>
        <v/>
      </c>
      <c r="G14" s="33">
        <f>IF($A14="","",SUMIFS(Positions!$AK$5:$AK$204,Positions!$Q$5:$Q$204,$A14))</f>
        <v/>
      </c>
      <c r="H14" s="33">
        <f>IF($A14="","",MAX(0,$G14-$B14))</f>
        <v/>
      </c>
      <c r="I14" s="33">
        <f>IF($A14="","",MAX(0,$B14-$G14))</f>
        <v/>
      </c>
      <c r="J14" s="33">
        <f>IF($A14="","",$H14*HCFXRate*IF($I$15&gt;0,1,0))</f>
        <v/>
      </c>
    </row>
    <row r="15">
      <c r="A15" s="35" t="inlineStr">
        <is>
          <t>TOTAL</t>
        </is>
      </c>
      <c r="B15" s="28">
        <f>SUM(B5:B14)</f>
        <v/>
      </c>
      <c r="C15" s="28">
        <f>SUM(C5:C14)</f>
        <v/>
      </c>
      <c r="D15" s="28">
        <f>SUM(D5:D14)</f>
        <v/>
      </c>
      <c r="E15" s="28">
        <f>SUM(E5:E14)</f>
        <v/>
      </c>
      <c r="F15" s="28">
        <f>SUM(F5:F14)</f>
        <v/>
      </c>
      <c r="G15" s="28">
        <f>SUM(G5:G14)</f>
        <v/>
      </c>
      <c r="H15" s="28">
        <f>SUM(H5:H14)</f>
        <v/>
      </c>
      <c r="I15" s="28">
        <f>SUM(I5:I14)</f>
        <v/>
      </c>
      <c r="J15" s="28">
        <f>SUM(J5:J14)</f>
        <v/>
      </c>
    </row>
    <row r="17">
      <c r="A17" s="3" t="inlineStr">
        <is>
          <t>CV Used is taken AFTER the concentration haircut (Conc Adj CV), so the waterfall is: CV -&gt; concentration haircut -&gt; HCFX -&gt; Net CV.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150" customWidth="1" min="2" max="2"/>
  </cols>
  <sheetData>
    <row r="1">
      <c r="A1" s="1" t="inlineStr">
        <is>
          <t>LIVE PRICES &amp; FX — OPTIONS AND EXACT WIRING</t>
        </is>
      </c>
      <c r="B1" s="2" t="n"/>
      <c r="C1" s="2" t="n"/>
    </row>
    <row r="2">
      <c r="A2" s="37" t="inlineStr"/>
      <c r="B2" s="38" t="inlineStr"/>
    </row>
    <row r="3">
      <c r="A3" s="4" t="inlineStr">
        <is>
          <t>HOW THE WORKBOOK CONSUMES LIVE DATA</t>
        </is>
      </c>
      <c r="B3" s="5" t="inlineStr"/>
    </row>
    <row r="4">
      <c r="A4" s="37" t="inlineStr">
        <is>
          <t>Prices</t>
        </is>
      </c>
      <c r="B4" s="38" t="inlineStr">
        <is>
          <t>Positions col J 'Price (live, optional)': if it contains a number it overrides the manual price in col I automatically (col K = IF(ISNUMBER(J),J,I)). Point col J at any of the sources below.</t>
        </is>
      </c>
    </row>
    <row r="5">
      <c r="A5" s="37" t="inlineStr">
        <is>
          <t>FX rates</t>
        </is>
      </c>
      <c r="B5" s="38" t="inlineStr">
        <is>
          <t>Config section 4 col C 'Live rate (optional)': same override logic — col D uses the live rate when present, else the manual rate.</t>
        </is>
      </c>
    </row>
    <row r="6">
      <c r="A6" s="37" t="inlineStr"/>
      <c r="B6" s="38" t="inlineStr"/>
    </row>
    <row r="7">
      <c r="A7" s="4" t="inlineStr">
        <is>
          <t>OPTION 1 — EXCEL 365 STOCKS &amp; CURRENCIES DATA TYPES (recommended, no add-in)</t>
        </is>
      </c>
      <c r="B7" s="5" t="inlineStr"/>
    </row>
    <row r="8">
      <c r="A8" s="37" t="inlineStr">
        <is>
          <t>Prices</t>
        </is>
      </c>
      <c r="B8" s="38" t="inlineStr">
        <is>
          <t>Type the ticker in a helper cell (e.g. col C), select it, Data tab -&gt; Data Types -&gt; Stocks. Then in col J:  =FIELDVALUE($C5,"Price").  Refresh: Data -&gt; Refresh All (or right-click -&gt; Data Type -&gt; Refresh). Quotes are delayed ~15 min.</t>
        </is>
      </c>
    </row>
    <row r="9">
      <c r="A9" s="37" t="inlineStr">
        <is>
          <t>FX</t>
        </is>
      </c>
      <c r="B9" s="38" t="inlineStr">
        <is>
          <t>Type the pair (e.g.  CHF/USD ) in a helper cell, convert to Currencies data type, then:  =FIELDVALUE(cell,"Price")  in Config col C.</t>
        </is>
      </c>
    </row>
    <row r="10">
      <c r="A10" s="37" t="inlineStr"/>
      <c r="B10" s="38" t="inlineStr"/>
    </row>
    <row r="11">
      <c r="A11" s="4" t="inlineStr">
        <is>
          <t>OPTION 2 — STOCKHISTORY (Excel 365, latest close)</t>
        </is>
      </c>
      <c r="B11" s="5" t="inlineStr"/>
    </row>
    <row r="12">
      <c r="A12" s="37" t="inlineStr">
        <is>
          <t>Prices</t>
        </is>
      </c>
      <c r="B12" s="38" t="inlineStr">
        <is>
          <t>Formula:  =IFERROR(INDEX(STOCKHISTORY($C5,TODAY()-7,TODAY(),0,0,1),ROWS(STOCKHISTORY($C5,TODAY()-7,TODAY(),0,0,1)),2),"")   -&gt; returns the most recent close for the ticker in C5.</t>
        </is>
      </c>
    </row>
    <row r="13">
      <c r="A13" s="37" t="inlineStr">
        <is>
          <t>FX</t>
        </is>
      </c>
      <c r="B13" s="38" t="inlineStr">
        <is>
          <t>Formula:  =INDEX(STOCKHISTORY("CHFUSD",TODAY()-7,TODAY(),0,0,1),ROWS(STOCKHISTORY("CHFUSD",TODAY()-7,TODAY(),0,0,1)),2)</t>
        </is>
      </c>
    </row>
    <row r="14">
      <c r="A14" s="37" t="inlineStr"/>
      <c r="B14" s="38" t="inlineStr"/>
    </row>
    <row r="15">
      <c r="A15" s="4" t="inlineStr">
        <is>
          <t>OPTION 3 — POWER QUERY FROM A FREE API (any Excel with Get &amp; Transform)</t>
        </is>
      </c>
      <c r="B15" s="5" t="inlineStr"/>
    </row>
    <row r="16">
      <c r="A16" s="37" t="inlineStr">
        <is>
          <t>FX</t>
        </is>
      </c>
      <c r="B16" s="38" t="inlineStr">
        <is>
          <t>Data -&gt; Get Data -&gt; From Web -&gt;  https://api.frankfurter.app/latest?from=USD  (ECB rates, free, no key). Load to a table, set 'Refresh on open' + background refresh in the connection properties, and point Config col C at the loaded table with VLOOKUP/INDEX.</t>
        </is>
      </c>
    </row>
    <row r="17">
      <c r="A17" s="37" t="inlineStr">
        <is>
          <t>Prices</t>
        </is>
      </c>
      <c r="B17" s="38" t="inlineStr">
        <is>
          <t>Same approach against your data vendor's REST endpoint (e.g. stooq.com CSV: https://stooq.com/q/l/?s=meta.us&amp;f=sd2t2ohlcv&amp;h&amp;e=csv).</t>
        </is>
      </c>
    </row>
    <row r="18">
      <c r="A18" s="37" t="inlineStr"/>
      <c r="B18" s="38" t="inlineStr"/>
    </row>
    <row r="19">
      <c r="A19" s="4" t="inlineStr">
        <is>
          <t>OPTION 4 — TERMINAL / RTD ADD-INS (true real-time, needs entitlement)</t>
        </is>
      </c>
      <c r="B19" s="5" t="inlineStr"/>
    </row>
    <row r="20">
      <c r="A20" s="37" t="inlineStr">
        <is>
          <t>Bloomberg</t>
        </is>
      </c>
      <c r="B20" s="38" t="inlineStr">
        <is>
          <t>Formulas:  =BDP("META US Equity","PX_LAST")     and     =BDP("USDCHF Curncy","PX_LAST")</t>
        </is>
      </c>
    </row>
    <row r="21">
      <c r="A21" s="37" t="inlineStr">
        <is>
          <t>LSEG/Refinitiv</t>
        </is>
      </c>
      <c r="B21" s="38" t="inlineStr">
        <is>
          <t>Formulas:  =RtGet("IDN",".META.O","TRDPRC_1")  or  =TR("META.O","TR.PriceClose")</t>
        </is>
      </c>
    </row>
    <row r="22">
      <c r="A22" s="37" t="inlineStr">
        <is>
          <t>IBKR / others</t>
        </is>
      </c>
      <c r="B22" s="38" t="inlineStr">
        <is>
          <t>Interactive Brokers Excel RTD add-in: =RTD("ibkrtws.rtd",,"META","Last")</t>
        </is>
      </c>
    </row>
    <row r="23">
      <c r="A23" s="37" t="inlineStr"/>
      <c r="B23" s="38" t="inlineStr"/>
    </row>
    <row r="24">
      <c r="A24" s="4" t="inlineStr">
        <is>
          <t>OPTION 5 — GOOGLE SHEETS BRIDGE (free, near-real-time)</t>
        </is>
      </c>
      <c r="B24" s="5" t="inlineStr"/>
    </row>
    <row r="25">
      <c r="A25" s="37" t="inlineStr">
        <is>
          <t>How</t>
        </is>
      </c>
      <c r="B25" s="38" t="inlineStr">
        <is>
          <t>Maintain a small Google Sheet with =GOOGLEFINANCE("META","price") and =GOOGLEFINANCE("CURRENCY:CHFUSD"), publish it as CSV, then pull it into this workbook via Power Query with auto-refresh.</t>
        </is>
      </c>
    </row>
    <row r="26">
      <c r="A26" s="37" t="inlineStr"/>
      <c r="B26" s="38" t="inlineStr"/>
    </row>
    <row r="27">
      <c r="A27" s="4" t="inlineStr">
        <is>
          <t>OPTION 6 — SCRIPTED REFRESH (ops-friendly)</t>
        </is>
      </c>
      <c r="B27" s="5" t="inlineStr"/>
    </row>
    <row r="28">
      <c r="A28" s="37" t="inlineStr">
        <is>
          <t>How</t>
        </is>
      </c>
      <c r="B28" s="38" t="inlineStr">
        <is>
          <t>A scheduled Python job (yfinance / vendor API + openpyxl or xlwings) writes prices into Positions col J and FX into Config col C, leaving all formulas intact. Good for end-of-day batch monitoring.</t>
        </is>
      </c>
    </row>
    <row r="29">
      <c r="A29" s="37" t="inlineStr"/>
      <c r="B29" s="38" t="inlineStr"/>
    </row>
    <row r="30">
      <c r="A30" s="4" t="inlineStr">
        <is>
          <t>GOVERNANCE NOTES</t>
        </is>
      </c>
      <c r="B30" s="5" t="inlineStr"/>
    </row>
    <row r="31">
      <c r="A31" s="37" t="inlineStr">
        <is>
          <t>1</t>
        </is>
      </c>
      <c r="B31" s="38" t="inlineStr">
        <is>
          <t>Keep manual price/FX columns populated as fallback — the workbook automatically falls back when a live feed returns an error or blank.</t>
        </is>
      </c>
    </row>
    <row r="32">
      <c r="A32" s="37" t="inlineStr">
        <is>
          <t>2</t>
        </is>
      </c>
      <c r="B32" s="38" t="inlineStr">
        <is>
          <t>For credit decisions, snapshot the workbook (values-only copy) at the monitoring cut-off time; live cells keep moving.</t>
        </is>
      </c>
    </row>
    <row r="33">
      <c r="A33" s="37" t="inlineStr">
        <is>
          <t>3</t>
        </is>
      </c>
      <c r="B33" s="38" t="inlineStr">
        <is>
          <t>Delayed quotes (~15 min) are fine for margin monitoring; use terminal RTD feeds for intraday close-out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2026-07-03T07:00:24Z</dcterms:created>
  <dcterms:modified xsi:type="dcterms:W3CDTF">2026-07-03T07:00:24Z</dcterms:modified>
</cp:coreProperties>
</file>